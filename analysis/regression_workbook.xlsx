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4" activeTab="7"/>
  </bookViews>
  <sheets>
    <sheet name="store_performance" sheetId="1" r:id="rId1"/>
    <sheet name="Cleaned Data" sheetId="4" r:id="rId2"/>
    <sheet name="Dummy Variables" sheetId="5" r:id="rId3"/>
    <sheet name="Simple Regression" sheetId="6" r:id="rId4"/>
    <sheet name="Multiple Regression" sheetId="7" r:id="rId5"/>
    <sheet name="Prediction &amp; Residuals" sheetId="8" r:id="rId6"/>
    <sheet name="Model Comparison" sheetId="9" r:id="rId7"/>
    <sheet name="data_dictionary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<sst xmlns="http://schemas.openxmlformats.org/spreadsheetml/2006/main" count="2975" uniqueCount="135">
  <si>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</si>
  <si>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</si>
  <si>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</si>
  <si>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</si>
  <si>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</si>
  <si>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</si>
  <si>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</si>
  <si>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</si>
  <si>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</si>
  <si>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</si>
  <si>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</si>
  <si>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</si>
  <si>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</si>
  <si>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</si>
  <si>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</si>
  <si>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</si>
  <si>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</si>
  <si>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</si>
  <si>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</si>
  <si>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</si>
  <si>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</si>
  <si>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</si>
  <si>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</si>
  <si>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</si>
  <si>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</si>
  <si>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</si>
  <si>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</si>
  <si>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</si>
  <si>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</si>
  <si>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</si>
  <si>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</si>
  <si>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</si>
  <si>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</si>
  <si>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</si>
  <si>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</si>
  <si>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</si>
  <si>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</si>
  <si>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</si>
  <si>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</si>
  <si>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</si>
  <si>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</si>
  <si>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</si>
  <si>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</si>
  <si>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</si>
  <si>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</si>
  <si>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</si>
  <si>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</si>
  <si>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</si>
  <si>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</si>
  <si>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</si>
  <si>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</si>
  <si>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</si>
  <si>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</si>
  <si>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</si>
  <si>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</si>
  <si>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</si>
  <si>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</si>
  <si>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</si>
  <si>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</si>
  <si>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</si>
  <si>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</si>
  <si>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</si>
  <si>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</si>
  <si>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</si>
  <si>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</si>
  <si>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</si>
  <si>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</si>
  <si>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</si>
  <si>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</si>
  <si>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</si>
  <si>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</si>
  <si>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</si>
  <si>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</si>
  <si>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</si>
  <si>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</si>
  <si>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</si>
  <si>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</si>
  <si>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</si>
  <si>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</si>
  <si>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</si>
  <si>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</si>
  <si>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</si>
  <si>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</si>
  <si>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</si>
  <si>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</si>
  <si>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</si>
  <si>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</si>
  <si>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</si>
  <si>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</si>
  <si>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</si>
  <si>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</si>
  <si>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</si>
  <si>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</si>
  <si>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</si>
  <si>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</si>
  <si>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</si>
  <si>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</si>
  <si>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</si>
  <si>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</si>
  <si>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</si>
  <si>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</si>
  <si>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</si>
  <si>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Region_East</t>
  </si>
  <si>
    <t>Region_North</t>
  </si>
  <si>
    <t>Region_South</t>
  </si>
  <si>
    <t>Calculate the Slope</t>
  </si>
  <si>
    <t>Slope</t>
  </si>
  <si>
    <t>Calculate the Intercept</t>
  </si>
  <si>
    <t>Intercept</t>
  </si>
  <si>
    <t>Calculate Rsq</t>
  </si>
  <si>
    <t>Rsq</t>
  </si>
  <si>
    <t>Independent Variable</t>
  </si>
  <si>
    <t>Marketing Spend</t>
  </si>
  <si>
    <t>Dependent Variable</t>
  </si>
  <si>
    <t>Monthly Sales</t>
  </si>
  <si>
    <t>Slope (Coefficient)</t>
  </si>
  <si>
    <t>Multiple Regression not performed because the regression analysis tool was unavailable in WPS Office.</t>
  </si>
  <si>
    <t>Prediction and residual calculations require the final multiple regression model and were not generated.</t>
  </si>
  <si>
    <t>Refer to analysis/model_comparison.md for model comparison.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</si>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</sst>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NumberFormat="1" applyFont="1" applyFill="1" applyBorder="1" applyAlignment="1"/>
    <xf numFmtId="0" fontId="0" fillId="0" borderId="0" xfId="0" applyFont="1"/>
    <xf numFmtId="0" fontId="0" fillId="0" borderId="0" xfId="0" applyAlignment="1">
      <alignment horizontal="center" wrapText="1"/>
    </xf>
    <xf numFmtId="180" fontId="0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1"/>
  <sheetViews>
    <sheetView topLeftCell="E1" workbookViewId="0">
      <selection activeCell="M1" sqref="M$1:M$1048576"/>
    </sheetView>
  </sheetViews>
  <sheetFormatPr defaultColWidth="9" defaultRowHeight="14.25"/>
  <cols>
    <col min="1" max="14" width="16" customWidth="1"/>
  </cols>
  <sheetData>
    <row r="1" ht="28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14</v>
      </c>
      <c r="B2" s="7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0.042</v>
      </c>
      <c r="H2" s="4">
        <v>17</v>
      </c>
      <c r="I2" s="4">
        <v>75</v>
      </c>
      <c r="J2" s="4">
        <v>5.28</v>
      </c>
      <c r="K2" s="4">
        <v>1</v>
      </c>
      <c r="L2" s="4">
        <v>3.1</v>
      </c>
      <c r="M2" s="4">
        <v>658832.62</v>
      </c>
      <c r="N2" s="4">
        <v>84349.93</v>
      </c>
    </row>
    <row r="3" spans="1:14">
      <c r="A3" s="4" t="s">
        <v>14</v>
      </c>
      <c r="B3" s="7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</v>
      </c>
      <c r="H3" s="4">
        <v>23</v>
      </c>
      <c r="I3" s="4">
        <v>84.4</v>
      </c>
      <c r="J3" s="4">
        <v>4.31</v>
      </c>
      <c r="K3" s="4">
        <v>0</v>
      </c>
      <c r="L3" s="4">
        <v>2.8</v>
      </c>
      <c r="M3" s="4">
        <v>634436</v>
      </c>
      <c r="N3" s="4">
        <v>106130.54</v>
      </c>
    </row>
    <row r="4" spans="1:14">
      <c r="A4" s="4" t="s">
        <v>14</v>
      </c>
      <c r="B4" s="7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</v>
      </c>
      <c r="H4" s="4">
        <v>20</v>
      </c>
      <c r="I4" s="4">
        <v>88</v>
      </c>
      <c r="J4" s="4">
        <v>12</v>
      </c>
      <c r="K4" s="4">
        <v>0</v>
      </c>
      <c r="L4" s="4">
        <v>3.2</v>
      </c>
      <c r="M4" s="4">
        <v>678722.06</v>
      </c>
      <c r="N4" s="4">
        <v>101883.86</v>
      </c>
    </row>
    <row r="5" spans="1:14">
      <c r="A5" s="4" t="s">
        <v>14</v>
      </c>
      <c r="B5" s="7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0.142</v>
      </c>
      <c r="H5" s="4">
        <v>23</v>
      </c>
      <c r="I5" s="4">
        <v>86.9</v>
      </c>
      <c r="J5" s="4">
        <v>4.97</v>
      </c>
      <c r="K5" s="4">
        <v>0</v>
      </c>
      <c r="L5" s="4">
        <v>3.4</v>
      </c>
      <c r="M5" s="4">
        <v>658920.3</v>
      </c>
      <c r="N5" s="4">
        <v>97910.37</v>
      </c>
    </row>
    <row r="6" spans="1:14">
      <c r="A6" s="4" t="s">
        <v>17</v>
      </c>
      <c r="B6" s="7">
        <v>45658</v>
      </c>
      <c r="C6" s="4" t="s">
        <v>15</v>
      </c>
      <c r="D6" s="4" t="s">
        <v>18</v>
      </c>
      <c r="E6" s="4">
        <v>48412.64</v>
      </c>
      <c r="F6" s="4">
        <v>9545</v>
      </c>
      <c r="G6" s="4">
        <v>0.231</v>
      </c>
      <c r="H6" s="4">
        <v>21</v>
      </c>
      <c r="I6" s="4">
        <v>97.6</v>
      </c>
      <c r="J6" s="4">
        <v>6.94</v>
      </c>
      <c r="K6" s="4">
        <v>1</v>
      </c>
      <c r="L6" s="4">
        <v>4.2</v>
      </c>
      <c r="M6" s="4">
        <v>741341.44</v>
      </c>
      <c r="N6" s="4">
        <v>119208.17</v>
      </c>
    </row>
    <row r="7" spans="1:14">
      <c r="A7" s="4" t="s">
        <v>17</v>
      </c>
      <c r="B7" s="7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 s="4">
        <v>4.2</v>
      </c>
      <c r="M7" s="4">
        <v>761835.34</v>
      </c>
      <c r="N7" s="4">
        <v>149602.23</v>
      </c>
    </row>
    <row r="8" spans="1:14">
      <c r="A8" s="4" t="s">
        <v>17</v>
      </c>
      <c r="B8" s="7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 s="4">
        <v>4.1</v>
      </c>
      <c r="M8" s="4">
        <v>806615.54</v>
      </c>
      <c r="N8" s="4">
        <v>131364.62</v>
      </c>
    </row>
    <row r="9" spans="1:14">
      <c r="A9" s="4" t="s">
        <v>17</v>
      </c>
      <c r="B9" s="7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 s="4">
        <v>3.9</v>
      </c>
      <c r="M9" s="4">
        <v>850164.26</v>
      </c>
      <c r="N9" s="4">
        <v>149262.75</v>
      </c>
    </row>
    <row r="10" spans="1:14">
      <c r="A10" s="4" t="s">
        <v>19</v>
      </c>
      <c r="B10" s="7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 s="4">
        <v>3.8</v>
      </c>
      <c r="M10" s="4">
        <v>930581.7</v>
      </c>
      <c r="N10" s="4">
        <v>136207.98</v>
      </c>
    </row>
    <row r="11" spans="1:14">
      <c r="A11" s="4" t="s">
        <v>19</v>
      </c>
      <c r="B11" s="7">
        <v>45689</v>
      </c>
      <c r="C11" s="4" t="s">
        <v>20</v>
      </c>
      <c r="D11" s="4" t="s">
        <v>21</v>
      </c>
      <c r="E11" s="4">
        <v>68133.44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 s="4">
        <v>4.2</v>
      </c>
      <c r="M11" s="4">
        <v>779010.94</v>
      </c>
      <c r="N11" s="4">
        <v>106328.09</v>
      </c>
    </row>
    <row r="12" spans="1:14">
      <c r="A12" s="4" t="s">
        <v>19</v>
      </c>
      <c r="B12" s="7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0.213</v>
      </c>
      <c r="H12" s="4">
        <v>22</v>
      </c>
      <c r="I12" s="4">
        <v>88.3</v>
      </c>
      <c r="J12" s="4">
        <v>10.46</v>
      </c>
      <c r="K12" s="4">
        <v>1</v>
      </c>
      <c r="L12" s="4">
        <v>3.8</v>
      </c>
      <c r="M12" s="4">
        <v>723060.76</v>
      </c>
      <c r="N12" s="4">
        <v>123131.24</v>
      </c>
    </row>
    <row r="13" spans="1:14">
      <c r="A13" s="4" t="s">
        <v>19</v>
      </c>
      <c r="B13" s="7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0.002</v>
      </c>
      <c r="H13" s="4">
        <v>28</v>
      </c>
      <c r="I13" s="4">
        <v>85.3</v>
      </c>
      <c r="J13" s="4">
        <v>7.16</v>
      </c>
      <c r="K13" s="4">
        <v>0</v>
      </c>
      <c r="L13" s="4">
        <v>3.8</v>
      </c>
      <c r="M13" s="4">
        <v>910791.94</v>
      </c>
      <c r="N13" s="4">
        <v>158891.28</v>
      </c>
    </row>
    <row r="14" spans="1:14">
      <c r="A14" s="4" t="s">
        <v>22</v>
      </c>
      <c r="B14" s="7">
        <v>45658</v>
      </c>
      <c r="C14" s="4" t="s">
        <v>15</v>
      </c>
      <c r="D14" s="4" t="s">
        <v>16</v>
      </c>
      <c r="E14" s="4">
        <v>71828.26</v>
      </c>
      <c r="F14" s="4">
        <v>12775</v>
      </c>
      <c r="G14" s="4">
        <v>0.116</v>
      </c>
      <c r="H14" s="4">
        <v>30</v>
      </c>
      <c r="I14" s="4">
        <v>81.7</v>
      </c>
      <c r="J14" s="4">
        <v>4.24</v>
      </c>
      <c r="K14" s="4">
        <v>1</v>
      </c>
      <c r="L14" s="4">
        <v>4.2</v>
      </c>
      <c r="M14" s="4">
        <v>922168.6</v>
      </c>
      <c r="N14" s="4">
        <v>107494.53</v>
      </c>
    </row>
    <row r="15" spans="1:14">
      <c r="A15" s="4" t="s">
        <v>22</v>
      </c>
      <c r="B15" s="7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0.146</v>
      </c>
      <c r="H15" s="4">
        <v>24</v>
      </c>
      <c r="I15" s="4">
        <v>84.9</v>
      </c>
      <c r="J15" s="4">
        <v>1.06</v>
      </c>
      <c r="K15" s="4">
        <v>0</v>
      </c>
      <c r="L15" s="4">
        <v>4.3</v>
      </c>
      <c r="M15" s="4">
        <v>726606.28</v>
      </c>
      <c r="N15" s="4">
        <v>122729.29</v>
      </c>
    </row>
    <row r="16" spans="1:14">
      <c r="A16" s="4" t="s">
        <v>22</v>
      </c>
      <c r="B16" s="7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</v>
      </c>
      <c r="H16" s="4">
        <v>23</v>
      </c>
      <c r="I16" s="4">
        <v>88.8</v>
      </c>
      <c r="J16" s="4">
        <v>0.27</v>
      </c>
      <c r="K16" s="4">
        <v>0</v>
      </c>
      <c r="L16" s="4">
        <v>4.3</v>
      </c>
      <c r="M16" s="4">
        <v>746501.09</v>
      </c>
      <c r="N16" s="4">
        <v>136816.72</v>
      </c>
    </row>
    <row r="17" spans="1:14">
      <c r="A17" s="4" t="s">
        <v>22</v>
      </c>
      <c r="B17" s="7">
        <v>45748</v>
      </c>
      <c r="C17" s="4" t="s">
        <v>15</v>
      </c>
      <c r="D17" s="4" t="s">
        <v>16</v>
      </c>
      <c r="E17" s="4">
        <v>75305.71</v>
      </c>
      <c r="F17" s="4">
        <v>10940</v>
      </c>
      <c r="G17" s="4">
        <v>0.006</v>
      </c>
      <c r="H17" s="4">
        <v>26</v>
      </c>
      <c r="I17" s="4">
        <v>76.5</v>
      </c>
      <c r="J17" s="4">
        <v>1.32</v>
      </c>
      <c r="K17" s="4">
        <v>0</v>
      </c>
      <c r="L17" s="4">
        <v>4.5</v>
      </c>
      <c r="M17" s="4">
        <v>834017.02</v>
      </c>
      <c r="N17" s="4">
        <v>114745.03</v>
      </c>
    </row>
    <row r="18" spans="1:14">
      <c r="A18" s="4" t="s">
        <v>23</v>
      </c>
      <c r="B18" s="7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0.005</v>
      </c>
      <c r="H18" s="4">
        <v>15</v>
      </c>
      <c r="I18" s="4">
        <v>87.7</v>
      </c>
      <c r="J18" s="4">
        <v>1.22</v>
      </c>
      <c r="K18" s="4">
        <v>0</v>
      </c>
      <c r="L18" s="4">
        <v>3.7</v>
      </c>
      <c r="M18" s="4">
        <v>666152.52</v>
      </c>
      <c r="N18" s="4">
        <v>107490.58</v>
      </c>
    </row>
    <row r="19" spans="1:14">
      <c r="A19" s="4" t="s">
        <v>23</v>
      </c>
      <c r="B19" s="7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0.119</v>
      </c>
      <c r="H19" s="4">
        <v>9</v>
      </c>
      <c r="I19" s="4">
        <v>87.6</v>
      </c>
      <c r="J19" s="4">
        <v>4.01</v>
      </c>
      <c r="K19" s="4">
        <v>0</v>
      </c>
      <c r="L19" s="4">
        <v>3.6</v>
      </c>
      <c r="M19" s="4">
        <v>573155.19</v>
      </c>
      <c r="N19" s="4">
        <v>83680.75</v>
      </c>
    </row>
    <row r="20" spans="1:14">
      <c r="A20" s="4" t="s">
        <v>23</v>
      </c>
      <c r="B20" s="7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 s="4">
        <v>3.9</v>
      </c>
      <c r="M20" s="4">
        <v>666573.2</v>
      </c>
      <c r="N20" s="4">
        <v>140641.02</v>
      </c>
    </row>
    <row r="21" spans="1:14">
      <c r="A21" s="4" t="s">
        <v>23</v>
      </c>
      <c r="B21" s="7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 s="4">
        <v>4</v>
      </c>
      <c r="M21" s="4">
        <v>591619.95</v>
      </c>
      <c r="N21" s="4">
        <v>99521.35</v>
      </c>
    </row>
    <row r="22" spans="1:14">
      <c r="A22" s="4" t="s">
        <v>25</v>
      </c>
      <c r="B22" s="7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</v>
      </c>
      <c r="H22" s="4">
        <v>9</v>
      </c>
      <c r="I22" s="4">
        <v>84.8</v>
      </c>
      <c r="J22" s="4">
        <v>6.95</v>
      </c>
      <c r="K22" s="4">
        <v>0</v>
      </c>
      <c r="L22" s="4">
        <v>5</v>
      </c>
      <c r="M22" s="4">
        <v>415721.82</v>
      </c>
      <c r="N22" s="4">
        <v>61179.15</v>
      </c>
    </row>
    <row r="23" spans="1:14">
      <c r="A23" s="4" t="s">
        <v>25</v>
      </c>
      <c r="B23" s="7">
        <v>45689</v>
      </c>
      <c r="C23" s="4" t="s">
        <v>20</v>
      </c>
      <c r="D23" s="4" t="s">
        <v>16</v>
      </c>
      <c r="E23" s="4">
        <v>33518.88</v>
      </c>
      <c r="F23" s="4">
        <v>2121</v>
      </c>
      <c r="G23" s="4">
        <v>0.176</v>
      </c>
      <c r="H23" s="4">
        <v>8</v>
      </c>
      <c r="I23" s="4">
        <v>88.5</v>
      </c>
      <c r="J23" s="4">
        <v>0.2</v>
      </c>
      <c r="K23" s="4">
        <v>0</v>
      </c>
      <c r="L23" s="4">
        <v>5</v>
      </c>
      <c r="M23" s="4">
        <v>491905.13</v>
      </c>
      <c r="N23" s="4">
        <v>79212.26</v>
      </c>
    </row>
    <row r="24" spans="1:14">
      <c r="A24" s="4" t="s">
        <v>25</v>
      </c>
      <c r="B24" s="7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 s="4">
        <v>4.6</v>
      </c>
      <c r="M24" s="4">
        <v>555929.4</v>
      </c>
      <c r="N24" s="4">
        <v>115201.76</v>
      </c>
    </row>
    <row r="25" spans="1:14">
      <c r="A25" s="4" t="s">
        <v>25</v>
      </c>
      <c r="B25" s="7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 s="4">
        <v>4.7</v>
      </c>
      <c r="M25" s="4">
        <v>565810.99</v>
      </c>
      <c r="N25" s="4">
        <v>77825.46</v>
      </c>
    </row>
    <row r="26" spans="1:14">
      <c r="A26" s="4" t="s">
        <v>26</v>
      </c>
      <c r="B26" s="7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 s="4">
        <v>3.5</v>
      </c>
      <c r="M26" s="4">
        <v>811771.14</v>
      </c>
      <c r="N26" s="4">
        <v>148756.24</v>
      </c>
    </row>
    <row r="27" spans="1:14">
      <c r="A27" s="4" t="s">
        <v>26</v>
      </c>
      <c r="B27" s="7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</v>
      </c>
      <c r="H27" s="4">
        <v>22</v>
      </c>
      <c r="I27" s="4">
        <v>86.2</v>
      </c>
      <c r="J27" s="4">
        <v>7.04</v>
      </c>
      <c r="K27" s="4">
        <v>0</v>
      </c>
      <c r="L27" s="4">
        <v>3.9</v>
      </c>
      <c r="M27" s="4">
        <v>800451.94</v>
      </c>
      <c r="N27" s="4">
        <v>111572.29</v>
      </c>
    </row>
    <row r="28" spans="1:14">
      <c r="A28" s="4" t="s">
        <v>26</v>
      </c>
      <c r="B28" s="7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</v>
      </c>
      <c r="H28" s="4">
        <v>23</v>
      </c>
      <c r="I28" s="4">
        <v>91.9</v>
      </c>
      <c r="J28" s="4">
        <v>4.94</v>
      </c>
      <c r="K28" s="4">
        <v>0</v>
      </c>
      <c r="L28" s="4">
        <v>4</v>
      </c>
      <c r="M28" s="4">
        <v>783672.82</v>
      </c>
      <c r="N28" s="4">
        <v>112577.14</v>
      </c>
    </row>
    <row r="29" spans="1:14">
      <c r="A29" s="4" t="s">
        <v>26</v>
      </c>
      <c r="B29" s="7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16.15</v>
      </c>
      <c r="K29" s="4">
        <v>0</v>
      </c>
      <c r="L29" s="4">
        <v>3.7</v>
      </c>
      <c r="M29" s="4">
        <v>701641.97</v>
      </c>
      <c r="N29" s="4">
        <v>106111.86</v>
      </c>
    </row>
    <row r="30" spans="1:14">
      <c r="A30" s="4" t="s">
        <v>29</v>
      </c>
      <c r="B30" s="7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 s="4">
        <v>3.6</v>
      </c>
      <c r="M30" s="4">
        <v>511844.41</v>
      </c>
      <c r="N30" s="4">
        <v>72774.44</v>
      </c>
    </row>
    <row r="31" spans="1:14">
      <c r="A31" s="4" t="s">
        <v>29</v>
      </c>
      <c r="B31" s="7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 s="4">
        <v>3.1</v>
      </c>
      <c r="M31" s="4">
        <v>537383.79</v>
      </c>
      <c r="N31" s="4">
        <v>63773.27</v>
      </c>
    </row>
    <row r="32" spans="1:14">
      <c r="A32" s="4" t="s">
        <v>29</v>
      </c>
      <c r="B32" s="7">
        <v>45717</v>
      </c>
      <c r="C32" s="4" t="s">
        <v>15</v>
      </c>
      <c r="D32" s="4" t="s">
        <v>16</v>
      </c>
      <c r="E32" s="4">
        <v>44970.08</v>
      </c>
      <c r="F32" s="4">
        <v>2471</v>
      </c>
      <c r="G32" s="4">
        <v>0.136</v>
      </c>
      <c r="H32" s="4">
        <v>11</v>
      </c>
      <c r="I32" s="4">
        <v>87.6</v>
      </c>
      <c r="J32" s="4">
        <v>3.01</v>
      </c>
      <c r="K32" s="4">
        <v>1</v>
      </c>
      <c r="L32" s="4">
        <v>3.7</v>
      </c>
      <c r="M32" s="4">
        <v>500173.02</v>
      </c>
      <c r="N32" s="4">
        <v>70982.05</v>
      </c>
    </row>
    <row r="33" spans="1:14">
      <c r="A33" s="4" t="s">
        <v>29</v>
      </c>
      <c r="B33" s="7">
        <v>45748</v>
      </c>
      <c r="C33" s="4" t="s">
        <v>15</v>
      </c>
      <c r="D33" s="4" t="s">
        <v>16</v>
      </c>
      <c r="E33" s="4">
        <v>69816.35</v>
      </c>
      <c r="F33" s="4">
        <v>971</v>
      </c>
      <c r="G33" s="4">
        <v>0.168</v>
      </c>
      <c r="H33" s="4">
        <v>5</v>
      </c>
      <c r="I33" s="4">
        <v>89.9</v>
      </c>
      <c r="J33" s="4">
        <v>12.15</v>
      </c>
      <c r="K33" s="4">
        <v>0</v>
      </c>
      <c r="L33" s="4">
        <v>3.6</v>
      </c>
      <c r="M33" s="4">
        <v>427917.38</v>
      </c>
      <c r="N33" s="4">
        <v>81824.31</v>
      </c>
    </row>
    <row r="34" spans="1:14">
      <c r="A34" s="4" t="s">
        <v>30</v>
      </c>
      <c r="B34" s="7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 s="4">
        <v>4.2</v>
      </c>
      <c r="M34" s="4">
        <v>641865.03</v>
      </c>
      <c r="N34" s="4">
        <v>81342.58</v>
      </c>
    </row>
    <row r="35" spans="1:14">
      <c r="A35" s="4" t="s">
        <v>30</v>
      </c>
      <c r="B35" s="7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0.07</v>
      </c>
      <c r="H35" s="4">
        <v>25</v>
      </c>
      <c r="I35" s="4">
        <v>84.7</v>
      </c>
      <c r="J35" s="4">
        <v>0.62</v>
      </c>
      <c r="K35" s="4">
        <v>0</v>
      </c>
      <c r="L35" s="4"/>
      <c r="M35" s="4">
        <v>799477.76</v>
      </c>
      <c r="N35" s="4">
        <v>164974.41</v>
      </c>
    </row>
    <row r="36" spans="1:14">
      <c r="A36" s="4" t="s">
        <v>30</v>
      </c>
      <c r="B36" s="7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0.039</v>
      </c>
      <c r="H36" s="4">
        <v>23</v>
      </c>
      <c r="I36" s="4">
        <v>92.1</v>
      </c>
      <c r="J36" s="4">
        <v>2.12</v>
      </c>
      <c r="K36" s="4">
        <v>0</v>
      </c>
      <c r="L36" s="4">
        <v>3.5</v>
      </c>
      <c r="M36" s="4">
        <v>798952.17</v>
      </c>
      <c r="N36" s="4">
        <v>161499.04</v>
      </c>
    </row>
    <row r="37" spans="1:14">
      <c r="A37" s="4" t="s">
        <v>30</v>
      </c>
      <c r="B37" s="7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 s="4">
        <v>3.6</v>
      </c>
      <c r="M37" s="4">
        <v>800979.78</v>
      </c>
      <c r="N37" s="4">
        <v>149242.27</v>
      </c>
    </row>
    <row r="38" spans="1:14">
      <c r="A38" s="4" t="s">
        <v>31</v>
      </c>
      <c r="B38" s="7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0.092</v>
      </c>
      <c r="H38" s="4">
        <v>21</v>
      </c>
      <c r="I38" s="4">
        <v>83.1</v>
      </c>
      <c r="J38" s="4">
        <v>9.56</v>
      </c>
      <c r="K38" s="4">
        <v>1</v>
      </c>
      <c r="L38" s="4">
        <v>4.2</v>
      </c>
      <c r="M38" s="4">
        <v>820593.93</v>
      </c>
      <c r="N38" s="4">
        <v>115860.06</v>
      </c>
    </row>
    <row r="39" spans="1:14">
      <c r="A39" s="4" t="s">
        <v>31</v>
      </c>
      <c r="B39" s="7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</v>
      </c>
      <c r="K39" s="4">
        <v>0</v>
      </c>
      <c r="L39" s="4">
        <v>3.8</v>
      </c>
      <c r="M39" s="4">
        <v>718330.53</v>
      </c>
      <c r="N39" s="4">
        <v>93247.9</v>
      </c>
    </row>
    <row r="40" spans="1:14">
      <c r="A40" s="4" t="s">
        <v>31</v>
      </c>
      <c r="B40" s="7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</v>
      </c>
      <c r="H40" s="4">
        <v>19</v>
      </c>
      <c r="I40" s="4">
        <v>82.9</v>
      </c>
      <c r="J40" s="4">
        <v>5.05</v>
      </c>
      <c r="K40" s="4">
        <v>0</v>
      </c>
      <c r="L40" s="4">
        <v>4</v>
      </c>
      <c r="M40" s="4">
        <v>736633.4</v>
      </c>
      <c r="N40" s="4">
        <v>115654.66</v>
      </c>
    </row>
    <row r="41" spans="1:14">
      <c r="A41" s="4" t="s">
        <v>31</v>
      </c>
      <c r="B41" s="7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0.085</v>
      </c>
      <c r="H41" s="4">
        <v>24</v>
      </c>
      <c r="I41" s="4">
        <v>98.3</v>
      </c>
      <c r="J41" s="4">
        <v>0.89</v>
      </c>
      <c r="K41" s="4">
        <v>0</v>
      </c>
      <c r="L41" s="4">
        <v>3.8</v>
      </c>
      <c r="M41" s="4">
        <v>828623.85</v>
      </c>
      <c r="N41" s="4">
        <v>167320.52</v>
      </c>
    </row>
    <row r="42" spans="1:14">
      <c r="A42" s="4" t="s">
        <v>32</v>
      </c>
      <c r="B42" s="7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 s="4">
        <v>4.4</v>
      </c>
      <c r="M42" s="4">
        <v>592195.85</v>
      </c>
      <c r="N42" s="4">
        <v>92291.56</v>
      </c>
    </row>
    <row r="43" spans="1:14">
      <c r="A43" s="4" t="s">
        <v>32</v>
      </c>
      <c r="B43" s="7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0.143</v>
      </c>
      <c r="H43" s="4">
        <v>10</v>
      </c>
      <c r="I43" s="4">
        <v>75.4</v>
      </c>
      <c r="J43" s="4">
        <v>1.06</v>
      </c>
      <c r="K43" s="4">
        <v>0</v>
      </c>
      <c r="L43" s="4">
        <v>4.4</v>
      </c>
      <c r="M43" s="4">
        <v>532644.46</v>
      </c>
      <c r="N43" s="4">
        <v>60681.32</v>
      </c>
    </row>
    <row r="44" spans="1:14">
      <c r="A44" s="4" t="s">
        <v>32</v>
      </c>
      <c r="B44" s="7">
        <v>45717</v>
      </c>
      <c r="C44" s="4" t="s">
        <v>15</v>
      </c>
      <c r="D44" s="4" t="s">
        <v>28</v>
      </c>
      <c r="E44" s="4">
        <v>68077.54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 s="4">
        <v>4</v>
      </c>
      <c r="M44" s="4">
        <v>657429.18</v>
      </c>
      <c r="N44" s="4">
        <v>88919.74</v>
      </c>
    </row>
    <row r="45" spans="1:14">
      <c r="A45" s="4" t="s">
        <v>32</v>
      </c>
      <c r="B45" s="7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0.019</v>
      </c>
      <c r="H45" s="4">
        <v>13</v>
      </c>
      <c r="I45" s="4">
        <v>87.8</v>
      </c>
      <c r="J45" s="4">
        <v>4.52</v>
      </c>
      <c r="K45" s="4">
        <v>0</v>
      </c>
      <c r="L45" s="4">
        <v>4.2</v>
      </c>
      <c r="M45" s="4">
        <v>605178</v>
      </c>
      <c r="N45" s="4">
        <v>106958.74</v>
      </c>
    </row>
    <row r="46" spans="1:14">
      <c r="A46" s="4" t="s">
        <v>33</v>
      </c>
      <c r="B46" s="7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 s="4">
        <v>3.2</v>
      </c>
      <c r="M46" s="4">
        <v>595467.6</v>
      </c>
      <c r="N46" s="4">
        <v>104276.46</v>
      </c>
    </row>
    <row r="47" spans="1:14">
      <c r="A47" s="4" t="s">
        <v>33</v>
      </c>
      <c r="B47" s="7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0.235</v>
      </c>
      <c r="H47" s="4">
        <v>14</v>
      </c>
      <c r="I47" s="4">
        <v>98.6</v>
      </c>
      <c r="J47" s="4">
        <v>5.52</v>
      </c>
      <c r="K47" s="4">
        <v>0</v>
      </c>
      <c r="L47" s="4">
        <v>3.5</v>
      </c>
      <c r="M47" s="4">
        <v>599603.4</v>
      </c>
      <c r="N47" s="4">
        <v>112685.12</v>
      </c>
    </row>
    <row r="48" spans="1:14">
      <c r="A48" s="4" t="s">
        <v>33</v>
      </c>
      <c r="B48" s="7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 s="4">
        <v>3.2</v>
      </c>
      <c r="M48" s="4">
        <v>614800.09</v>
      </c>
      <c r="N48" s="4">
        <v>100044.2</v>
      </c>
    </row>
    <row r="49" spans="1:14">
      <c r="A49" s="4" t="s">
        <v>33</v>
      </c>
      <c r="B49" s="7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 s="4">
        <v>3.3</v>
      </c>
      <c r="M49" s="4">
        <v>585365.73</v>
      </c>
      <c r="N49" s="4">
        <v>81011.52</v>
      </c>
    </row>
    <row r="50" spans="1:14">
      <c r="A50" s="4" t="s">
        <v>34</v>
      </c>
      <c r="B50" s="7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 s="4">
        <v>4.7</v>
      </c>
      <c r="M50" s="4">
        <v>622811.74</v>
      </c>
      <c r="N50" s="4">
        <v>109978.35</v>
      </c>
    </row>
    <row r="51" spans="1:14">
      <c r="A51" s="4" t="s">
        <v>34</v>
      </c>
      <c r="B51" s="7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 s="4">
        <v>4.6</v>
      </c>
      <c r="M51" s="4">
        <v>603297.57</v>
      </c>
      <c r="N51" s="4">
        <v>60592.26</v>
      </c>
    </row>
    <row r="52" spans="1:14">
      <c r="A52" s="4" t="s">
        <v>34</v>
      </c>
      <c r="B52" s="7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0.008</v>
      </c>
      <c r="H52" s="4">
        <v>12</v>
      </c>
      <c r="I52" s="4">
        <v>80.4</v>
      </c>
      <c r="J52" s="4">
        <v>7.4</v>
      </c>
      <c r="K52" s="4">
        <v>0</v>
      </c>
      <c r="L52" s="4">
        <v>4.5</v>
      </c>
      <c r="M52" s="4">
        <v>625672.86</v>
      </c>
      <c r="N52" s="4">
        <v>118020.12</v>
      </c>
    </row>
    <row r="53" spans="1:14">
      <c r="A53" s="4" t="s">
        <v>34</v>
      </c>
      <c r="B53" s="7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 s="4">
        <v>4.6</v>
      </c>
      <c r="M53" s="4">
        <v>773815.14</v>
      </c>
      <c r="N53" s="4">
        <v>133948.39</v>
      </c>
    </row>
    <row r="54" spans="1:14">
      <c r="A54" s="4" t="s">
        <v>35</v>
      </c>
      <c r="B54" s="7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0.087</v>
      </c>
      <c r="H54" s="4">
        <v>9</v>
      </c>
      <c r="I54" s="4">
        <v>84.3</v>
      </c>
      <c r="J54" s="4">
        <v>22.02</v>
      </c>
      <c r="K54" s="4">
        <v>0</v>
      </c>
      <c r="L54" s="4">
        <v>3.9</v>
      </c>
      <c r="M54" s="4">
        <v>463534.25</v>
      </c>
      <c r="N54" s="4">
        <v>81834.54</v>
      </c>
    </row>
    <row r="55" spans="1:14">
      <c r="A55" s="4" t="s">
        <v>35</v>
      </c>
      <c r="B55" s="7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</v>
      </c>
      <c r="H55" s="4">
        <v>14</v>
      </c>
      <c r="I55" s="4">
        <v>88.7</v>
      </c>
      <c r="J55" s="4">
        <v>6.18</v>
      </c>
      <c r="K55" s="4">
        <v>0</v>
      </c>
      <c r="L55" s="4">
        <v>4.7</v>
      </c>
      <c r="M55" s="4">
        <v>746677.75</v>
      </c>
      <c r="N55" s="4">
        <v>122437.84</v>
      </c>
    </row>
    <row r="56" spans="1:14">
      <c r="A56" s="4" t="s">
        <v>35</v>
      </c>
      <c r="B56" s="7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 s="4">
        <v>4.3</v>
      </c>
      <c r="M56" s="4">
        <v>720852.5</v>
      </c>
      <c r="N56" s="4">
        <v>98565.62</v>
      </c>
    </row>
    <row r="57" spans="1:14">
      <c r="A57" s="4" t="s">
        <v>35</v>
      </c>
      <c r="B57" s="7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 s="4">
        <v>4.1</v>
      </c>
      <c r="M57" s="4">
        <v>487464.91</v>
      </c>
      <c r="N57" s="4">
        <v>64562.26</v>
      </c>
    </row>
    <row r="58" spans="1:14">
      <c r="A58" s="4" t="s">
        <v>36</v>
      </c>
      <c r="B58" s="7">
        <v>45658</v>
      </c>
      <c r="C58" s="4" t="s">
        <v>15</v>
      </c>
      <c r="D58" s="4" t="s">
        <v>21</v>
      </c>
      <c r="E58" s="4">
        <v>19365.06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 s="4">
        <v>3.5</v>
      </c>
      <c r="M58" s="4">
        <v>518049.26</v>
      </c>
      <c r="N58" s="4">
        <v>108592.49</v>
      </c>
    </row>
    <row r="59" spans="1:14">
      <c r="A59" s="4" t="s">
        <v>36</v>
      </c>
      <c r="B59" s="7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0.039</v>
      </c>
      <c r="H59" s="4">
        <v>12</v>
      </c>
      <c r="I59" s="4">
        <v>76</v>
      </c>
      <c r="J59" s="4">
        <v>5.11</v>
      </c>
      <c r="K59" s="4">
        <v>0</v>
      </c>
      <c r="L59" s="4">
        <v>3.7</v>
      </c>
      <c r="M59" s="4">
        <v>500298.48</v>
      </c>
      <c r="N59" s="4">
        <v>73461.32</v>
      </c>
    </row>
    <row r="60" spans="1:14">
      <c r="A60" s="4" t="s">
        <v>36</v>
      </c>
      <c r="B60" s="7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</v>
      </c>
      <c r="H60" s="4">
        <v>11</v>
      </c>
      <c r="I60" s="4">
        <v>87.1</v>
      </c>
      <c r="J60" s="4">
        <v>0.2</v>
      </c>
      <c r="K60" s="4">
        <v>0</v>
      </c>
      <c r="L60" s="4">
        <v>3.1</v>
      </c>
      <c r="M60" s="4">
        <v>617291.15</v>
      </c>
      <c r="N60" s="4">
        <v>117782</v>
      </c>
    </row>
    <row r="61" spans="1:14">
      <c r="A61" s="4" t="s">
        <v>36</v>
      </c>
      <c r="B61" s="7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0.092</v>
      </c>
      <c r="H61" s="4">
        <v>14</v>
      </c>
      <c r="I61" s="4">
        <v>88.6</v>
      </c>
      <c r="J61" s="4">
        <v>13.59</v>
      </c>
      <c r="K61" s="4">
        <v>0</v>
      </c>
      <c r="L61" s="4">
        <v>3.1</v>
      </c>
      <c r="M61" s="4">
        <v>553756.43</v>
      </c>
      <c r="N61" s="4">
        <v>86166.77</v>
      </c>
    </row>
    <row r="62" spans="1:14">
      <c r="A62" s="4" t="s">
        <v>37</v>
      </c>
      <c r="B62" s="7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0.062</v>
      </c>
      <c r="H62" s="4">
        <v>16</v>
      </c>
      <c r="I62" s="4">
        <v>95.6</v>
      </c>
      <c r="J62" s="4">
        <v>1.02</v>
      </c>
      <c r="K62" s="4">
        <v>0</v>
      </c>
      <c r="L62" s="4">
        <v>3.7</v>
      </c>
      <c r="M62" s="4">
        <v>749559.71</v>
      </c>
      <c r="N62" s="4">
        <v>144522.53</v>
      </c>
    </row>
    <row r="63" spans="1:14">
      <c r="A63" s="4" t="s">
        <v>37</v>
      </c>
      <c r="B63" s="7">
        <v>45689</v>
      </c>
      <c r="C63" s="4" t="s">
        <v>24</v>
      </c>
      <c r="D63" s="4" t="s">
        <v>18</v>
      </c>
      <c r="E63" s="4">
        <v>37284.66</v>
      </c>
      <c r="F63" s="4">
        <v>3928</v>
      </c>
      <c r="G63" s="4">
        <v>0.074</v>
      </c>
      <c r="H63" s="4">
        <v>12</v>
      </c>
      <c r="I63" s="4">
        <v>86.5</v>
      </c>
      <c r="J63" s="4">
        <v>1.64</v>
      </c>
      <c r="K63" s="4">
        <v>0</v>
      </c>
      <c r="L63" s="4">
        <v>3.8</v>
      </c>
      <c r="M63" s="4">
        <v>615966.48</v>
      </c>
      <c r="N63" s="4">
        <v>91509.38</v>
      </c>
    </row>
    <row r="64" spans="1:14">
      <c r="A64" s="4" t="s">
        <v>37</v>
      </c>
      <c r="B64" s="7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 s="4">
        <v>3.3</v>
      </c>
      <c r="M64" s="4">
        <v>572011.2</v>
      </c>
      <c r="N64" s="4">
        <v>101409.68</v>
      </c>
    </row>
    <row r="65" spans="1:14">
      <c r="A65" s="4" t="s">
        <v>37</v>
      </c>
      <c r="B65" s="7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0.054</v>
      </c>
      <c r="H65" s="4">
        <v>17</v>
      </c>
      <c r="I65" s="4">
        <v>91.1</v>
      </c>
      <c r="J65" s="4">
        <v>1.11</v>
      </c>
      <c r="K65" s="4">
        <v>0</v>
      </c>
      <c r="L65" s="4">
        <v>3.5</v>
      </c>
      <c r="M65" s="4">
        <v>761860.19</v>
      </c>
      <c r="N65" s="4">
        <v>133279.38</v>
      </c>
    </row>
    <row r="66" spans="1:14">
      <c r="A66" s="4" t="s">
        <v>38</v>
      </c>
      <c r="B66" s="7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 s="4">
        <v>3.4</v>
      </c>
      <c r="M66" s="4">
        <v>784502.68</v>
      </c>
      <c r="N66" s="4">
        <v>129519.72</v>
      </c>
    </row>
    <row r="67" spans="1:14">
      <c r="A67" s="4" t="s">
        <v>38</v>
      </c>
      <c r="B67" s="7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 s="4">
        <v>3.6</v>
      </c>
      <c r="M67" s="4">
        <v>717141.55</v>
      </c>
      <c r="N67" s="4">
        <v>134013.61</v>
      </c>
    </row>
    <row r="68" spans="1:14">
      <c r="A68" s="4" t="s">
        <v>38</v>
      </c>
      <c r="B68" s="7">
        <v>45717</v>
      </c>
      <c r="C68" s="4" t="s">
        <v>27</v>
      </c>
      <c r="D68" s="4" t="s">
        <v>18</v>
      </c>
      <c r="E68" s="4">
        <v>79346.1</v>
      </c>
      <c r="F68" s="4">
        <v>9628</v>
      </c>
      <c r="G68" s="4">
        <v>0.102</v>
      </c>
      <c r="H68" s="4">
        <v>20</v>
      </c>
      <c r="I68" s="4">
        <v>99</v>
      </c>
      <c r="J68" s="4">
        <v>19.01</v>
      </c>
      <c r="K68" s="4">
        <v>1</v>
      </c>
      <c r="L68" s="4">
        <v>3.2</v>
      </c>
      <c r="M68" s="4">
        <v>685379.08</v>
      </c>
      <c r="N68" s="4">
        <v>106898.82</v>
      </c>
    </row>
    <row r="69" spans="1:14">
      <c r="A69" s="4" t="s">
        <v>38</v>
      </c>
      <c r="B69" s="7">
        <v>45748</v>
      </c>
      <c r="C69" s="4" t="s">
        <v>27</v>
      </c>
      <c r="D69" s="4" t="s">
        <v>18</v>
      </c>
      <c r="E69" s="4">
        <v>42018.4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 s="4">
        <v>3.4</v>
      </c>
      <c r="M69" s="4">
        <v>740496.65</v>
      </c>
      <c r="N69" s="4">
        <v>128020.9</v>
      </c>
    </row>
    <row r="70" spans="1:14">
      <c r="A70" s="4" t="s">
        <v>39</v>
      </c>
      <c r="B70" s="7">
        <v>45658</v>
      </c>
      <c r="C70" s="4" t="s">
        <v>15</v>
      </c>
      <c r="D70" s="4" t="s">
        <v>18</v>
      </c>
      <c r="E70" s="4">
        <v>70937.24</v>
      </c>
      <c r="F70" s="4">
        <v>3595</v>
      </c>
      <c r="G70" s="4">
        <v>0.141</v>
      </c>
      <c r="H70" s="4">
        <v>11</v>
      </c>
      <c r="I70" s="4">
        <v>88.9</v>
      </c>
      <c r="J70" s="4">
        <v>2.83</v>
      </c>
      <c r="K70" s="4">
        <v>1</v>
      </c>
      <c r="L70" s="4">
        <v>3.3</v>
      </c>
      <c r="M70" s="4">
        <v>661927.14</v>
      </c>
      <c r="N70" s="4">
        <v>79218.57</v>
      </c>
    </row>
    <row r="71" spans="1:14">
      <c r="A71" s="4" t="s">
        <v>39</v>
      </c>
      <c r="B71" s="7">
        <v>45689</v>
      </c>
      <c r="C71" s="4" t="s">
        <v>15</v>
      </c>
      <c r="D71" s="4" t="s">
        <v>18</v>
      </c>
      <c r="E71" s="4">
        <v>36813.45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 s="4">
        <v>3.3</v>
      </c>
      <c r="M71" s="4">
        <v>479050.5</v>
      </c>
      <c r="N71" s="4">
        <v>53651.11</v>
      </c>
    </row>
    <row r="72" spans="1:14">
      <c r="A72" s="4" t="s">
        <v>39</v>
      </c>
      <c r="B72" s="7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</v>
      </c>
      <c r="H72" s="4">
        <v>7</v>
      </c>
      <c r="I72" s="4">
        <v>99</v>
      </c>
      <c r="J72" s="4">
        <v>1.43</v>
      </c>
      <c r="K72" s="4">
        <v>0</v>
      </c>
      <c r="L72" s="4">
        <v>3.2</v>
      </c>
      <c r="M72" s="4">
        <v>605023.87</v>
      </c>
      <c r="N72" s="4">
        <v>98545.81</v>
      </c>
    </row>
    <row r="73" spans="1:14">
      <c r="A73" s="4" t="s">
        <v>39</v>
      </c>
      <c r="B73" s="7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0.036</v>
      </c>
      <c r="H73" s="4">
        <v>12</v>
      </c>
      <c r="I73" s="4">
        <v>88</v>
      </c>
      <c r="J73" s="4"/>
      <c r="K73" s="4">
        <v>0</v>
      </c>
      <c r="L73" s="4">
        <v>3.5</v>
      </c>
      <c r="M73" s="4">
        <v>674774.09</v>
      </c>
      <c r="N73" s="4">
        <v>141917.59</v>
      </c>
    </row>
    <row r="74" spans="1:14">
      <c r="A74" s="4" t="s">
        <v>40</v>
      </c>
      <c r="B74" s="7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</v>
      </c>
      <c r="H74" s="4">
        <v>13</v>
      </c>
      <c r="I74" s="4">
        <v>78.8</v>
      </c>
      <c r="J74" s="4">
        <v>4.91</v>
      </c>
      <c r="K74" s="4">
        <v>0</v>
      </c>
      <c r="L74" s="4">
        <v>4.5</v>
      </c>
      <c r="M74" s="4">
        <v>616069.41</v>
      </c>
      <c r="N74" s="4">
        <v>54453.99</v>
      </c>
    </row>
    <row r="75" spans="1:14">
      <c r="A75" s="4" t="s">
        <v>40</v>
      </c>
      <c r="B75" s="7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0.066</v>
      </c>
      <c r="H75" s="4">
        <v>19</v>
      </c>
      <c r="I75" s="4">
        <v>94.6</v>
      </c>
      <c r="J75" s="4">
        <v>7.03</v>
      </c>
      <c r="K75" s="4">
        <v>0</v>
      </c>
      <c r="L75" s="4">
        <v>4.4</v>
      </c>
      <c r="M75" s="4">
        <v>630829.94</v>
      </c>
      <c r="N75" s="4">
        <v>117090.02</v>
      </c>
    </row>
    <row r="76" spans="1:14">
      <c r="A76" s="4" t="s">
        <v>40</v>
      </c>
      <c r="B76" s="7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0.178</v>
      </c>
      <c r="H76" s="4">
        <v>20</v>
      </c>
      <c r="I76" s="4">
        <v>93.1</v>
      </c>
      <c r="J76" s="4">
        <v>0.28</v>
      </c>
      <c r="K76" s="4">
        <v>1</v>
      </c>
      <c r="L76" s="4">
        <v>4.3</v>
      </c>
      <c r="M76" s="4">
        <v>788087.68</v>
      </c>
      <c r="N76" s="4">
        <v>116803.42</v>
      </c>
    </row>
    <row r="77" spans="1:14">
      <c r="A77" s="4" t="s">
        <v>40</v>
      </c>
      <c r="B77" s="7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</v>
      </c>
      <c r="H77" s="4">
        <v>20</v>
      </c>
      <c r="I77" s="4">
        <v>85.2</v>
      </c>
      <c r="J77" s="4">
        <v>3.61</v>
      </c>
      <c r="K77" s="4">
        <v>0</v>
      </c>
      <c r="L77" s="4">
        <v>4.5</v>
      </c>
      <c r="M77" s="4">
        <v>680840.36</v>
      </c>
      <c r="N77" s="4">
        <v>68007.68</v>
      </c>
    </row>
    <row r="78" spans="1:14">
      <c r="A78" s="4" t="s">
        <v>41</v>
      </c>
      <c r="B78" s="7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 s="4">
        <v>3.2</v>
      </c>
      <c r="M78" s="4">
        <v>643657.47</v>
      </c>
      <c r="N78" s="4">
        <v>87022.45</v>
      </c>
    </row>
    <row r="79" spans="1:14">
      <c r="A79" s="4" t="s">
        <v>41</v>
      </c>
      <c r="B79" s="7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0.064</v>
      </c>
      <c r="H79" s="4">
        <v>12</v>
      </c>
      <c r="I79" s="4">
        <v>85.4</v>
      </c>
      <c r="J79" s="4">
        <v>2.58</v>
      </c>
      <c r="K79" s="4">
        <v>0</v>
      </c>
      <c r="L79" s="4">
        <v>2.9</v>
      </c>
      <c r="M79" s="4">
        <v>691112.6</v>
      </c>
      <c r="N79" s="4">
        <v>109212.83</v>
      </c>
    </row>
    <row r="80" spans="1:14">
      <c r="A80" s="4" t="s">
        <v>41</v>
      </c>
      <c r="B80" s="7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0.172</v>
      </c>
      <c r="H80" s="4">
        <v>16</v>
      </c>
      <c r="I80" s="4">
        <v>83.5</v>
      </c>
      <c r="J80" s="4">
        <v>2.29</v>
      </c>
      <c r="K80" s="4">
        <v>0</v>
      </c>
      <c r="L80" s="4">
        <v>3.3</v>
      </c>
      <c r="M80" s="4">
        <v>776922.17</v>
      </c>
      <c r="N80" s="4">
        <v>150701.93</v>
      </c>
    </row>
    <row r="81" spans="1:14">
      <c r="A81" s="4" t="s">
        <v>41</v>
      </c>
      <c r="B81" s="7">
        <v>45748</v>
      </c>
      <c r="C81" s="4" t="s">
        <v>24</v>
      </c>
      <c r="D81" s="4" t="s">
        <v>18</v>
      </c>
      <c r="E81" s="4">
        <v>77999.9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 s="4">
        <v>3.2</v>
      </c>
      <c r="M81" s="4">
        <v>636561.34</v>
      </c>
      <c r="N81" s="4">
        <v>93861.06</v>
      </c>
    </row>
    <row r="82" spans="1:14">
      <c r="A82" s="4" t="s">
        <v>42</v>
      </c>
      <c r="B82" s="7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0.179</v>
      </c>
      <c r="H82" s="4">
        <v>15</v>
      </c>
      <c r="I82" s="4">
        <v>83.9</v>
      </c>
      <c r="J82" s="4">
        <v>5.24</v>
      </c>
      <c r="K82" s="4">
        <v>0</v>
      </c>
      <c r="L82" s="4">
        <v>4.6</v>
      </c>
      <c r="M82" s="4">
        <v>621369.58</v>
      </c>
      <c r="N82" s="4">
        <v>85493.64</v>
      </c>
    </row>
    <row r="83" spans="1:14">
      <c r="A83" s="4" t="s">
        <v>42</v>
      </c>
      <c r="B83" s="7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0.095</v>
      </c>
      <c r="H83" s="4">
        <v>10</v>
      </c>
      <c r="I83" s="4">
        <v>89.6</v>
      </c>
      <c r="J83" s="4">
        <v>3.17</v>
      </c>
      <c r="K83" s="4">
        <v>0</v>
      </c>
      <c r="L83" s="4">
        <v>4.6</v>
      </c>
      <c r="M83" s="4">
        <v>682208.01</v>
      </c>
      <c r="N83" s="4">
        <v>110318.84</v>
      </c>
    </row>
    <row r="84" spans="1:14">
      <c r="A84" s="4" t="s">
        <v>42</v>
      </c>
      <c r="B84" s="7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0.084</v>
      </c>
      <c r="H84" s="4">
        <v>15</v>
      </c>
      <c r="I84" s="4">
        <v>87.1</v>
      </c>
      <c r="J84" s="4">
        <v>2.66</v>
      </c>
      <c r="K84" s="4">
        <v>0</v>
      </c>
      <c r="L84" s="4">
        <v>4.6</v>
      </c>
      <c r="M84" s="4">
        <v>727241.86</v>
      </c>
      <c r="N84" s="4">
        <v>155810.3</v>
      </c>
    </row>
    <row r="85" spans="1:14">
      <c r="A85" s="4" t="s">
        <v>42</v>
      </c>
      <c r="B85" s="7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 s="4">
        <v>4.2</v>
      </c>
      <c r="M85" s="4">
        <v>569100.78</v>
      </c>
      <c r="N85" s="4">
        <v>104808.78</v>
      </c>
    </row>
    <row r="86" spans="1:14">
      <c r="A86" s="4" t="s">
        <v>43</v>
      </c>
      <c r="B86" s="7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 s="4">
        <v>4.9</v>
      </c>
      <c r="M86" s="4">
        <v>574436.29</v>
      </c>
      <c r="N86" s="4">
        <v>80271.99</v>
      </c>
    </row>
    <row r="87" spans="1:14">
      <c r="A87" s="4" t="s">
        <v>43</v>
      </c>
      <c r="B87" s="7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0.206</v>
      </c>
      <c r="H87" s="4">
        <v>11</v>
      </c>
      <c r="I87" s="4">
        <v>91.9</v>
      </c>
      <c r="J87" s="4">
        <v>5.95</v>
      </c>
      <c r="K87" s="4">
        <v>0</v>
      </c>
      <c r="L87" s="4"/>
      <c r="M87" s="4">
        <v>611766.72</v>
      </c>
      <c r="N87" s="4">
        <v>88275.61</v>
      </c>
    </row>
    <row r="88" spans="1:14">
      <c r="A88" s="4" t="s">
        <v>43</v>
      </c>
      <c r="B88" s="7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0.059</v>
      </c>
      <c r="H88" s="4">
        <v>11</v>
      </c>
      <c r="I88" s="4">
        <v>88.5</v>
      </c>
      <c r="J88" s="4">
        <v>15.51</v>
      </c>
      <c r="K88" s="4">
        <v>0</v>
      </c>
      <c r="L88" s="4">
        <v>4.3</v>
      </c>
      <c r="M88" s="4">
        <v>614596.32</v>
      </c>
      <c r="N88" s="4">
        <v>131199.41</v>
      </c>
    </row>
    <row r="89" spans="1:14">
      <c r="A89" s="4" t="s">
        <v>43</v>
      </c>
      <c r="B89" s="7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0.145</v>
      </c>
      <c r="H89" s="4">
        <v>9</v>
      </c>
      <c r="I89" s="4">
        <v>86.4</v>
      </c>
      <c r="J89" s="4">
        <v>4.31</v>
      </c>
      <c r="K89" s="4">
        <v>0</v>
      </c>
      <c r="L89" s="4">
        <v>4.6</v>
      </c>
      <c r="M89" s="4">
        <v>450711.92</v>
      </c>
      <c r="N89" s="4">
        <v>90043.76</v>
      </c>
    </row>
    <row r="90" spans="1:14">
      <c r="A90" s="4" t="s">
        <v>44</v>
      </c>
      <c r="B90" s="7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0.029</v>
      </c>
      <c r="H90" s="4">
        <v>18</v>
      </c>
      <c r="I90" s="4">
        <v>79.2</v>
      </c>
      <c r="J90" s="4">
        <v>6.61</v>
      </c>
      <c r="K90" s="4">
        <v>1</v>
      </c>
      <c r="L90" s="4">
        <v>4.1</v>
      </c>
      <c r="M90" s="4">
        <v>711213.46</v>
      </c>
      <c r="N90" s="4">
        <v>105863.26</v>
      </c>
    </row>
    <row r="91" spans="1:14">
      <c r="A91" s="4" t="s">
        <v>44</v>
      </c>
      <c r="B91" s="7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0.013</v>
      </c>
      <c r="H91" s="4">
        <v>12</v>
      </c>
      <c r="I91" s="4">
        <v>87</v>
      </c>
      <c r="J91" s="4">
        <v>4.26</v>
      </c>
      <c r="K91" s="4">
        <v>0</v>
      </c>
      <c r="L91" s="4">
        <v>4.5</v>
      </c>
      <c r="M91" s="4">
        <v>627171.9</v>
      </c>
      <c r="N91" s="4">
        <v>105772.75</v>
      </c>
    </row>
    <row r="92" spans="1:14">
      <c r="A92" s="4" t="s">
        <v>44</v>
      </c>
      <c r="B92" s="7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 s="4">
        <v>4.7</v>
      </c>
      <c r="M92" s="4">
        <v>739852.58</v>
      </c>
      <c r="N92" s="4">
        <v>129386.43</v>
      </c>
    </row>
    <row r="93" spans="1:14">
      <c r="A93" s="4" t="s">
        <v>44</v>
      </c>
      <c r="B93" s="7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0.043</v>
      </c>
      <c r="H93" s="4">
        <v>11</v>
      </c>
      <c r="I93" s="4">
        <v>84.7</v>
      </c>
      <c r="J93" s="4">
        <v>0.33</v>
      </c>
      <c r="K93" s="4">
        <v>0</v>
      </c>
      <c r="L93" s="4">
        <v>4.3</v>
      </c>
      <c r="M93" s="4">
        <v>586307.22</v>
      </c>
      <c r="N93" s="4">
        <v>73927.85</v>
      </c>
    </row>
    <row r="94" spans="1:14">
      <c r="A94" s="4" t="s">
        <v>45</v>
      </c>
      <c r="B94" s="7">
        <v>45658</v>
      </c>
      <c r="C94" s="4" t="s">
        <v>27</v>
      </c>
      <c r="D94" s="4" t="s">
        <v>16</v>
      </c>
      <c r="E94" s="4">
        <v>38966.59</v>
      </c>
      <c r="F94" s="4">
        <v>4509</v>
      </c>
      <c r="G94" s="4">
        <v>0.194</v>
      </c>
      <c r="H94" s="4">
        <v>14</v>
      </c>
      <c r="I94" s="4">
        <v>91.1</v>
      </c>
      <c r="J94" s="4">
        <v>2.92</v>
      </c>
      <c r="K94" s="4">
        <v>0</v>
      </c>
      <c r="L94" s="4">
        <v>4.6</v>
      </c>
      <c r="M94" s="4">
        <v>585937.48</v>
      </c>
      <c r="N94" s="4">
        <v>82624.2</v>
      </c>
    </row>
    <row r="95" spans="1:14">
      <c r="A95" s="4" t="s">
        <v>45</v>
      </c>
      <c r="B95" s="7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 s="4">
        <v>4.5</v>
      </c>
      <c r="M95" s="4">
        <v>753473.55</v>
      </c>
      <c r="N95" s="4">
        <v>151527.22</v>
      </c>
    </row>
    <row r="96" spans="1:14">
      <c r="A96" s="4" t="s">
        <v>45</v>
      </c>
      <c r="B96" s="7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0.073</v>
      </c>
      <c r="H96" s="4">
        <v>17</v>
      </c>
      <c r="I96" s="4">
        <v>91.3</v>
      </c>
      <c r="J96" s="4">
        <v>0.8</v>
      </c>
      <c r="K96" s="4">
        <v>0</v>
      </c>
      <c r="L96" s="4">
        <v>5</v>
      </c>
      <c r="M96" s="4">
        <v>838250.32</v>
      </c>
      <c r="N96" s="4">
        <v>122939.34</v>
      </c>
    </row>
    <row r="97" spans="1:14">
      <c r="A97" s="4" t="s">
        <v>45</v>
      </c>
      <c r="B97" s="7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0.074</v>
      </c>
      <c r="H97" s="4">
        <v>15</v>
      </c>
      <c r="I97" s="4">
        <v>94.1</v>
      </c>
      <c r="J97" s="4">
        <v>5.79</v>
      </c>
      <c r="K97" s="4">
        <v>0</v>
      </c>
      <c r="L97" s="4">
        <v>4.5</v>
      </c>
      <c r="M97" s="4">
        <v>607898.12</v>
      </c>
      <c r="N97" s="4">
        <v>135404.85</v>
      </c>
    </row>
    <row r="98" spans="1:14">
      <c r="A98" s="4" t="s">
        <v>46</v>
      </c>
      <c r="B98" s="7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</v>
      </c>
      <c r="H98" s="4">
        <v>19</v>
      </c>
      <c r="I98" s="4">
        <v>91</v>
      </c>
      <c r="J98" s="4">
        <v>19.6</v>
      </c>
      <c r="K98" s="4">
        <v>0</v>
      </c>
      <c r="L98" s="4">
        <v>4.4</v>
      </c>
      <c r="M98" s="4">
        <v>691113.62</v>
      </c>
      <c r="N98" s="4">
        <v>135145.44</v>
      </c>
    </row>
    <row r="99" spans="1:14">
      <c r="A99" s="4" t="s">
        <v>46</v>
      </c>
      <c r="B99" s="7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</v>
      </c>
      <c r="H99" s="4">
        <v>13</v>
      </c>
      <c r="I99" s="4">
        <v>85.8</v>
      </c>
      <c r="J99" s="4">
        <v>7.57</v>
      </c>
      <c r="K99" s="4">
        <v>0</v>
      </c>
      <c r="L99" s="4">
        <v>4.3</v>
      </c>
      <c r="M99" s="4">
        <v>735509.4</v>
      </c>
      <c r="N99" s="4">
        <v>83895.96</v>
      </c>
    </row>
    <row r="100" spans="1:14">
      <c r="A100" s="4" t="s">
        <v>46</v>
      </c>
      <c r="B100" s="7">
        <v>45717</v>
      </c>
      <c r="C100" s="4" t="s">
        <v>27</v>
      </c>
      <c r="D100" s="4" t="s">
        <v>28</v>
      </c>
      <c r="E100" s="4">
        <v>38752.8</v>
      </c>
      <c r="F100" s="4">
        <v>4712</v>
      </c>
      <c r="G100" s="4">
        <v>0.075</v>
      </c>
      <c r="H100" s="4">
        <v>15</v>
      </c>
      <c r="I100" s="4">
        <v>89.7</v>
      </c>
      <c r="J100" s="4"/>
      <c r="K100" s="4">
        <v>0</v>
      </c>
      <c r="L100" s="4">
        <v>4.3</v>
      </c>
      <c r="M100" s="4">
        <v>605775.33</v>
      </c>
      <c r="N100" s="4">
        <v>107194.6</v>
      </c>
    </row>
    <row r="101" spans="1:14">
      <c r="A101" s="4" t="s">
        <v>46</v>
      </c>
      <c r="B101" s="7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 s="4">
        <v>4.4</v>
      </c>
      <c r="M101" s="4">
        <v>675177.68</v>
      </c>
      <c r="N101" s="4">
        <v>105628.68</v>
      </c>
    </row>
    <row r="102" spans="1:14">
      <c r="A102" s="4" t="s">
        <v>47</v>
      </c>
      <c r="B102" s="7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 s="4">
        <v>4.4</v>
      </c>
      <c r="M102" s="4">
        <v>635181.35</v>
      </c>
      <c r="N102" s="4">
        <v>83341.25</v>
      </c>
    </row>
    <row r="103" spans="1:14">
      <c r="A103" s="4" t="s">
        <v>47</v>
      </c>
      <c r="B103" s="7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0.173</v>
      </c>
      <c r="H103" s="4">
        <v>14</v>
      </c>
      <c r="I103" s="4">
        <v>90.4</v>
      </c>
      <c r="J103" s="4">
        <v>7.87</v>
      </c>
      <c r="K103" s="4">
        <v>0</v>
      </c>
      <c r="L103" s="4">
        <v>4.7</v>
      </c>
      <c r="M103" s="4">
        <v>586626.94</v>
      </c>
      <c r="N103" s="4">
        <v>86498.55</v>
      </c>
    </row>
    <row r="104" spans="1:14">
      <c r="A104" s="4" t="s">
        <v>47</v>
      </c>
      <c r="B104" s="7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 s="4">
        <v>4.4</v>
      </c>
      <c r="M104" s="4">
        <v>740102.64</v>
      </c>
      <c r="N104" s="4">
        <v>114299.07</v>
      </c>
    </row>
    <row r="105" spans="1:14">
      <c r="A105" s="4" t="s">
        <v>47</v>
      </c>
      <c r="B105" s="7">
        <v>45748</v>
      </c>
      <c r="C105" s="4" t="s">
        <v>15</v>
      </c>
      <c r="D105" s="4" t="s">
        <v>28</v>
      </c>
      <c r="E105" s="4">
        <v>32266.64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 s="4">
        <v>5</v>
      </c>
      <c r="M105" s="4">
        <v>625514.04</v>
      </c>
      <c r="N105" s="4">
        <v>120685.08</v>
      </c>
    </row>
    <row r="106" spans="1:14">
      <c r="A106" s="4" t="s">
        <v>48</v>
      </c>
      <c r="B106" s="7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0.103</v>
      </c>
      <c r="H106" s="4">
        <v>21</v>
      </c>
      <c r="I106" s="4">
        <v>82.3</v>
      </c>
      <c r="J106" s="4">
        <v>2.87</v>
      </c>
      <c r="K106" s="4">
        <v>0</v>
      </c>
      <c r="L106" s="4">
        <v>2.9</v>
      </c>
      <c r="M106" s="4">
        <v>727227.2</v>
      </c>
      <c r="N106" s="4">
        <v>121292.01</v>
      </c>
    </row>
    <row r="107" spans="1:14">
      <c r="A107" s="4" t="s">
        <v>48</v>
      </c>
      <c r="B107" s="7">
        <v>45689</v>
      </c>
      <c r="C107" s="4" t="s">
        <v>27</v>
      </c>
      <c r="D107" s="4" t="s">
        <v>18</v>
      </c>
      <c r="E107" s="4">
        <v>74679.35</v>
      </c>
      <c r="F107" s="4">
        <v>8739</v>
      </c>
      <c r="G107" s="4">
        <v>0.056</v>
      </c>
      <c r="H107" s="4">
        <v>21</v>
      </c>
      <c r="I107" s="4">
        <v>91.8</v>
      </c>
      <c r="J107" s="4">
        <v>2.83</v>
      </c>
      <c r="K107" s="4">
        <v>0</v>
      </c>
      <c r="L107" s="4">
        <v>3</v>
      </c>
      <c r="M107" s="4">
        <v>783797.89</v>
      </c>
      <c r="N107" s="4">
        <v>157620.7</v>
      </c>
    </row>
    <row r="108" spans="1:14">
      <c r="A108" s="4" t="s">
        <v>48</v>
      </c>
      <c r="B108" s="7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</v>
      </c>
      <c r="H108" s="4">
        <v>14</v>
      </c>
      <c r="I108" s="4">
        <v>94.1</v>
      </c>
      <c r="J108" s="4">
        <v>0.25</v>
      </c>
      <c r="K108" s="4">
        <v>0</v>
      </c>
      <c r="L108" s="4">
        <v>3</v>
      </c>
      <c r="M108" s="4">
        <v>795153.84</v>
      </c>
      <c r="N108" s="4">
        <v>143194.21</v>
      </c>
    </row>
    <row r="109" spans="1:14">
      <c r="A109" s="4" t="s">
        <v>48</v>
      </c>
      <c r="B109" s="7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0.051</v>
      </c>
      <c r="H109" s="4">
        <v>15</v>
      </c>
      <c r="I109" s="4">
        <v>87</v>
      </c>
      <c r="J109" s="4">
        <v>13.33</v>
      </c>
      <c r="K109" s="4">
        <v>0</v>
      </c>
      <c r="L109" s="4">
        <v>3.2</v>
      </c>
      <c r="M109" s="4">
        <v>665594.94</v>
      </c>
      <c r="N109" s="4">
        <v>127597.34</v>
      </c>
    </row>
    <row r="110" spans="1:14">
      <c r="A110" s="4" t="s">
        <v>49</v>
      </c>
      <c r="B110" s="7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 s="4">
        <v>3.8</v>
      </c>
      <c r="M110" s="4">
        <v>709478.39</v>
      </c>
      <c r="N110" s="4">
        <v>71294.27</v>
      </c>
    </row>
    <row r="111" spans="1:14">
      <c r="A111" s="4" t="s">
        <v>49</v>
      </c>
      <c r="B111" s="7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0.292</v>
      </c>
      <c r="H111" s="4">
        <v>13</v>
      </c>
      <c r="I111" s="4">
        <v>86.5</v>
      </c>
      <c r="J111" s="4">
        <v>6.69</v>
      </c>
      <c r="K111" s="4">
        <v>0</v>
      </c>
      <c r="L111" s="4">
        <v>3.8</v>
      </c>
      <c r="M111" s="4">
        <v>664162.49</v>
      </c>
      <c r="N111" s="4">
        <v>98291.06</v>
      </c>
    </row>
    <row r="112" spans="1:14">
      <c r="A112" s="4" t="s">
        <v>49</v>
      </c>
      <c r="B112" s="7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0.089</v>
      </c>
      <c r="H112" s="4">
        <v>13</v>
      </c>
      <c r="I112" s="4">
        <v>89.9</v>
      </c>
      <c r="J112" s="4">
        <v>1.28</v>
      </c>
      <c r="K112" s="4">
        <v>0</v>
      </c>
      <c r="L112" s="4">
        <v>4.2</v>
      </c>
      <c r="M112" s="4">
        <v>633494.21</v>
      </c>
      <c r="N112" s="4">
        <v>105739.47</v>
      </c>
    </row>
    <row r="113" spans="1:14">
      <c r="A113" s="4" t="s">
        <v>49</v>
      </c>
      <c r="B113" s="7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0.057</v>
      </c>
      <c r="H113" s="4">
        <v>12</v>
      </c>
      <c r="I113" s="4">
        <v>91.7</v>
      </c>
      <c r="J113" s="4">
        <v>0.92</v>
      </c>
      <c r="K113" s="4">
        <v>0</v>
      </c>
      <c r="L113" s="4">
        <v>3.5</v>
      </c>
      <c r="M113" s="4">
        <v>713611.16</v>
      </c>
      <c r="N113" s="4">
        <v>129717.18</v>
      </c>
    </row>
    <row r="114" spans="1:14">
      <c r="A114" s="4" t="s">
        <v>50</v>
      </c>
      <c r="B114" s="7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0.173</v>
      </c>
      <c r="H114" s="4">
        <v>22</v>
      </c>
      <c r="I114" s="4">
        <v>76.4</v>
      </c>
      <c r="J114" s="4">
        <v>1.05</v>
      </c>
      <c r="K114" s="4">
        <v>0</v>
      </c>
      <c r="L114" s="4">
        <v>3.1</v>
      </c>
      <c r="M114" s="4">
        <v>778397.97</v>
      </c>
      <c r="N114" s="4">
        <v>120044.41</v>
      </c>
    </row>
    <row r="115" spans="1:14">
      <c r="A115" s="4" t="s">
        <v>50</v>
      </c>
      <c r="B115" s="7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0.142</v>
      </c>
      <c r="H115" s="4">
        <v>22</v>
      </c>
      <c r="I115" s="4">
        <v>94.3</v>
      </c>
      <c r="J115" s="4">
        <v>2.67</v>
      </c>
      <c r="K115" s="4">
        <v>0</v>
      </c>
      <c r="L115" s="4">
        <v>3.5</v>
      </c>
      <c r="M115" s="4">
        <v>873380.02</v>
      </c>
      <c r="N115" s="4">
        <v>149734.76</v>
      </c>
    </row>
    <row r="116" spans="1:14">
      <c r="A116" s="4" t="s">
        <v>50</v>
      </c>
      <c r="B116" s="7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 s="4">
        <v>2.8</v>
      </c>
      <c r="M116" s="4">
        <v>697287.9</v>
      </c>
      <c r="N116" s="4">
        <v>128208.33</v>
      </c>
    </row>
    <row r="117" spans="1:14">
      <c r="A117" s="4" t="s">
        <v>50</v>
      </c>
      <c r="B117" s="7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</v>
      </c>
      <c r="H117" s="4">
        <v>23</v>
      </c>
      <c r="I117" s="4">
        <v>92.5</v>
      </c>
      <c r="J117" s="4">
        <v>6.37</v>
      </c>
      <c r="K117" s="4">
        <v>0</v>
      </c>
      <c r="L117" s="4">
        <v>3.3</v>
      </c>
      <c r="M117" s="4">
        <v>718074.79</v>
      </c>
      <c r="N117" s="4">
        <v>115819.87</v>
      </c>
    </row>
    <row r="118" spans="1:14">
      <c r="A118" s="4" t="s">
        <v>51</v>
      </c>
      <c r="B118" s="7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</v>
      </c>
      <c r="K118" s="4">
        <v>1</v>
      </c>
      <c r="L118" s="4">
        <v>4.7</v>
      </c>
      <c r="M118" s="4">
        <v>714942.43</v>
      </c>
      <c r="N118" s="4">
        <v>94697.71</v>
      </c>
    </row>
    <row r="119" spans="1:14">
      <c r="A119" s="4" t="s">
        <v>51</v>
      </c>
      <c r="B119" s="7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 s="4">
        <v>4.7</v>
      </c>
      <c r="M119" s="4">
        <v>820519.04</v>
      </c>
      <c r="N119" s="4">
        <v>99035.88</v>
      </c>
    </row>
    <row r="120" spans="1:14">
      <c r="A120" s="4" t="s">
        <v>51</v>
      </c>
      <c r="B120" s="7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</v>
      </c>
      <c r="H120" s="4">
        <v>18</v>
      </c>
      <c r="I120" s="4">
        <v>96.8</v>
      </c>
      <c r="J120" s="4">
        <v>14.95</v>
      </c>
      <c r="K120" s="4">
        <v>0</v>
      </c>
      <c r="L120" s="4">
        <v>4.6</v>
      </c>
      <c r="M120" s="4">
        <v>684217.32</v>
      </c>
      <c r="N120" s="4">
        <v>136217.19</v>
      </c>
    </row>
    <row r="121" spans="1:14">
      <c r="A121" s="4" t="s">
        <v>51</v>
      </c>
      <c r="B121" s="7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</v>
      </c>
      <c r="H121" s="4">
        <v>19</v>
      </c>
      <c r="I121" s="4">
        <v>95.7</v>
      </c>
      <c r="J121" s="4">
        <v>7.85</v>
      </c>
      <c r="K121" s="4">
        <v>0</v>
      </c>
      <c r="L121" s="4">
        <v>4.7</v>
      </c>
      <c r="M121" s="4">
        <v>735480.19</v>
      </c>
      <c r="N121" s="4">
        <v>88342.11</v>
      </c>
    </row>
    <row r="122" spans="1:14">
      <c r="A122" s="4" t="s">
        <v>52</v>
      </c>
      <c r="B122" s="7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0.088</v>
      </c>
      <c r="H122" s="4">
        <v>13</v>
      </c>
      <c r="I122" s="4">
        <v>83</v>
      </c>
      <c r="J122" s="4">
        <v>6.8</v>
      </c>
      <c r="K122" s="4">
        <v>0</v>
      </c>
      <c r="L122" s="4">
        <v>4.4</v>
      </c>
      <c r="M122" s="4">
        <v>509484.81</v>
      </c>
      <c r="N122" s="4">
        <v>85742.36</v>
      </c>
    </row>
    <row r="123" spans="1:14">
      <c r="A123" s="4" t="s">
        <v>52</v>
      </c>
      <c r="B123" s="7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</v>
      </c>
      <c r="K123" s="4">
        <v>0</v>
      </c>
      <c r="L123" s="4">
        <v>3.7</v>
      </c>
      <c r="M123" s="4">
        <v>654317.09</v>
      </c>
      <c r="N123" s="4">
        <v>121446.89</v>
      </c>
    </row>
    <row r="124" spans="1:14">
      <c r="A124" s="4" t="s">
        <v>52</v>
      </c>
      <c r="B124" s="7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0.069</v>
      </c>
      <c r="H124" s="4">
        <v>15</v>
      </c>
      <c r="I124" s="4">
        <v>85.7</v>
      </c>
      <c r="J124" s="4">
        <v>1.88</v>
      </c>
      <c r="K124" s="4">
        <v>0</v>
      </c>
      <c r="L124" s="4">
        <v>3.9</v>
      </c>
      <c r="M124" s="4">
        <v>557487.26</v>
      </c>
      <c r="N124" s="4">
        <v>76432.19</v>
      </c>
    </row>
    <row r="125" spans="1:14">
      <c r="A125" s="4" t="s">
        <v>52</v>
      </c>
      <c r="B125" s="7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 s="4">
        <v>4.4</v>
      </c>
      <c r="M125" s="4">
        <v>441275.42</v>
      </c>
      <c r="N125" s="4">
        <v>58234.87</v>
      </c>
    </row>
    <row r="126" spans="1:14">
      <c r="A126" s="4" t="s">
        <v>53</v>
      </c>
      <c r="B126" s="7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 s="4">
        <v>4.8</v>
      </c>
      <c r="M126" s="4">
        <v>914544.17</v>
      </c>
      <c r="N126" s="4">
        <v>79831.73</v>
      </c>
    </row>
    <row r="127" spans="1:14">
      <c r="A127" s="4" t="s">
        <v>53</v>
      </c>
      <c r="B127" s="7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0.176</v>
      </c>
      <c r="H127" s="4">
        <v>27</v>
      </c>
      <c r="I127" s="4">
        <v>98.3</v>
      </c>
      <c r="J127" s="4">
        <v>0.54</v>
      </c>
      <c r="K127" s="4">
        <v>0</v>
      </c>
      <c r="L127" s="4">
        <v>4.4</v>
      </c>
      <c r="M127" s="4">
        <v>842439.67</v>
      </c>
      <c r="N127" s="4">
        <v>169983.63</v>
      </c>
    </row>
    <row r="128" spans="1:14">
      <c r="A128" s="4" t="s">
        <v>53</v>
      </c>
      <c r="B128" s="7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0.204</v>
      </c>
      <c r="H128" s="4">
        <v>20</v>
      </c>
      <c r="I128" s="4">
        <v>88.2</v>
      </c>
      <c r="J128" s="4">
        <v>5.37</v>
      </c>
      <c r="K128" s="4">
        <v>1</v>
      </c>
      <c r="L128" s="4">
        <v>4.9</v>
      </c>
      <c r="M128" s="4">
        <v>842157.92</v>
      </c>
      <c r="N128" s="4">
        <v>107348.22</v>
      </c>
    </row>
    <row r="129" spans="1:14">
      <c r="A129" s="4" t="s">
        <v>53</v>
      </c>
      <c r="B129" s="7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0.096</v>
      </c>
      <c r="H129" s="4">
        <v>19</v>
      </c>
      <c r="I129" s="4">
        <v>81.5</v>
      </c>
      <c r="J129" s="4">
        <v>3.19</v>
      </c>
      <c r="K129" s="4">
        <v>0</v>
      </c>
      <c r="L129" s="4">
        <v>4.8</v>
      </c>
      <c r="M129" s="4">
        <v>697155.3</v>
      </c>
      <c r="N129" s="4">
        <v>136408.54</v>
      </c>
    </row>
    <row r="130" spans="1:14">
      <c r="A130" s="4" t="s">
        <v>54</v>
      </c>
      <c r="B130" s="7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0.142</v>
      </c>
      <c r="H130" s="4">
        <v>27</v>
      </c>
      <c r="I130" s="4">
        <v>88.3</v>
      </c>
      <c r="J130" s="4">
        <v>1.1</v>
      </c>
      <c r="K130" s="4">
        <v>1</v>
      </c>
      <c r="L130" s="4">
        <v>4.4</v>
      </c>
      <c r="M130" s="4">
        <v>849018.3</v>
      </c>
      <c r="N130" s="4">
        <v>149035.13</v>
      </c>
    </row>
    <row r="131" spans="1:14">
      <c r="A131" s="4" t="s">
        <v>54</v>
      </c>
      <c r="B131" s="7">
        <v>45689</v>
      </c>
      <c r="C131" s="4" t="s">
        <v>15</v>
      </c>
      <c r="D131" s="4" t="s">
        <v>18</v>
      </c>
      <c r="E131" s="4">
        <v>68410.93</v>
      </c>
      <c r="F131" s="4">
        <v>10596</v>
      </c>
      <c r="G131" s="4">
        <v>0.207</v>
      </c>
      <c r="H131" s="4">
        <v>25</v>
      </c>
      <c r="I131" s="4">
        <v>81.2</v>
      </c>
      <c r="J131" s="4">
        <v>0.21</v>
      </c>
      <c r="K131" s="4">
        <v>0</v>
      </c>
      <c r="L131" s="4">
        <v>4</v>
      </c>
      <c r="M131" s="4">
        <v>801830.35</v>
      </c>
      <c r="N131" s="4">
        <v>114875.32</v>
      </c>
    </row>
    <row r="132" spans="1:14">
      <c r="A132" s="4" t="s">
        <v>54</v>
      </c>
      <c r="B132" s="7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0.144</v>
      </c>
      <c r="H132" s="4">
        <v>19</v>
      </c>
      <c r="I132" s="4">
        <v>93.8</v>
      </c>
      <c r="J132" s="4">
        <v>5.12</v>
      </c>
      <c r="K132" s="4">
        <v>1</v>
      </c>
      <c r="L132" s="4">
        <v>4.5</v>
      </c>
      <c r="M132" s="4">
        <v>725235.28</v>
      </c>
      <c r="N132" s="4">
        <v>121632.24</v>
      </c>
    </row>
    <row r="133" spans="1:14">
      <c r="A133" s="4" t="s">
        <v>54</v>
      </c>
      <c r="B133" s="7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0.089</v>
      </c>
      <c r="H133" s="4">
        <v>25</v>
      </c>
      <c r="I133" s="4">
        <v>85</v>
      </c>
      <c r="J133" s="4">
        <v>9.77</v>
      </c>
      <c r="K133" s="4">
        <v>0</v>
      </c>
      <c r="L133" s="4">
        <v>4.5</v>
      </c>
      <c r="M133" s="4">
        <v>811452.72</v>
      </c>
      <c r="N133" s="4">
        <v>131325.67</v>
      </c>
    </row>
    <row r="134" spans="1:14">
      <c r="A134" s="4" t="s">
        <v>55</v>
      </c>
      <c r="B134" s="7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0.079</v>
      </c>
      <c r="H134" s="4">
        <v>9</v>
      </c>
      <c r="I134" s="4">
        <v>87.9</v>
      </c>
      <c r="J134" s="4">
        <v>3.77</v>
      </c>
      <c r="K134" s="4">
        <v>0</v>
      </c>
      <c r="L134" s="4">
        <v>4.4</v>
      </c>
      <c r="M134" s="4">
        <v>527300.13</v>
      </c>
      <c r="N134" s="4">
        <v>84197.87</v>
      </c>
    </row>
    <row r="135" spans="1:14">
      <c r="A135" s="4" t="s">
        <v>55</v>
      </c>
      <c r="B135" s="7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</v>
      </c>
      <c r="H135" s="4">
        <v>8</v>
      </c>
      <c r="I135" s="4">
        <v>81.1</v>
      </c>
      <c r="J135" s="4">
        <v>0.78</v>
      </c>
      <c r="K135" s="4">
        <v>0</v>
      </c>
      <c r="L135" s="4"/>
      <c r="M135" s="4">
        <v>400831.65</v>
      </c>
      <c r="N135" s="4">
        <v>70979.31</v>
      </c>
    </row>
    <row r="136" spans="1:14">
      <c r="A136" s="4" t="s">
        <v>55</v>
      </c>
      <c r="B136" s="7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0.086</v>
      </c>
      <c r="H136" s="4">
        <v>11</v>
      </c>
      <c r="I136" s="4">
        <v>95.6</v>
      </c>
      <c r="J136" s="4">
        <v>5.17</v>
      </c>
      <c r="K136" s="4">
        <v>1</v>
      </c>
      <c r="L136" s="4">
        <v>4.4</v>
      </c>
      <c r="M136" s="4">
        <v>593247.25</v>
      </c>
      <c r="N136" s="4">
        <v>81240.29</v>
      </c>
    </row>
    <row r="137" spans="1:14">
      <c r="A137" s="4" t="s">
        <v>55</v>
      </c>
      <c r="B137" s="7">
        <v>45748</v>
      </c>
      <c r="C137" s="4" t="s">
        <v>20</v>
      </c>
      <c r="D137" s="4" t="s">
        <v>18</v>
      </c>
      <c r="E137" s="4">
        <v>70366.76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 s="4">
        <v>4.6</v>
      </c>
      <c r="M137" s="4">
        <v>529075.95</v>
      </c>
      <c r="N137" s="4">
        <v>95978.83</v>
      </c>
    </row>
    <row r="138" spans="1:14">
      <c r="A138" s="4" t="s">
        <v>56</v>
      </c>
      <c r="B138" s="7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0.048</v>
      </c>
      <c r="H138" s="4">
        <v>20</v>
      </c>
      <c r="I138" s="4">
        <v>78.1</v>
      </c>
      <c r="J138" s="4">
        <v>3.4</v>
      </c>
      <c r="K138" s="4">
        <v>0</v>
      </c>
      <c r="L138" s="4"/>
      <c r="M138" s="4">
        <v>633638.03</v>
      </c>
      <c r="N138" s="4">
        <v>99402.01</v>
      </c>
    </row>
    <row r="139" spans="1:14">
      <c r="A139" s="4" t="s">
        <v>56</v>
      </c>
      <c r="B139" s="7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0.079</v>
      </c>
      <c r="H139" s="4">
        <v>15</v>
      </c>
      <c r="I139" s="4">
        <v>96.3</v>
      </c>
      <c r="J139" s="4">
        <v>7.38</v>
      </c>
      <c r="K139" s="4">
        <v>0</v>
      </c>
      <c r="L139" s="4">
        <v>3.7</v>
      </c>
      <c r="M139" s="4">
        <v>743348.84</v>
      </c>
      <c r="N139" s="4">
        <v>104186.09</v>
      </c>
    </row>
    <row r="140" spans="1:14">
      <c r="A140" s="4" t="s">
        <v>56</v>
      </c>
      <c r="B140" s="7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 s="4">
        <v>3.3</v>
      </c>
      <c r="M140" s="4">
        <v>758827.64</v>
      </c>
      <c r="N140" s="4">
        <v>161439.48</v>
      </c>
    </row>
    <row r="141" spans="1:14">
      <c r="A141" s="4" t="s">
        <v>56</v>
      </c>
      <c r="B141" s="7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 s="4">
        <v>3.6</v>
      </c>
      <c r="M141" s="4">
        <v>646559.71</v>
      </c>
      <c r="N141" s="4">
        <v>97981.75</v>
      </c>
    </row>
    <row r="142" spans="1:14">
      <c r="A142" s="4" t="s">
        <v>57</v>
      </c>
      <c r="B142" s="7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</v>
      </c>
      <c r="H142" s="4">
        <v>14</v>
      </c>
      <c r="I142" s="4">
        <v>88.8</v>
      </c>
      <c r="J142" s="4">
        <v>0.77</v>
      </c>
      <c r="K142" s="4">
        <v>0</v>
      </c>
      <c r="L142" s="4">
        <v>4.1</v>
      </c>
      <c r="M142" s="4">
        <v>715890.53</v>
      </c>
      <c r="N142" s="4">
        <v>109032.15</v>
      </c>
    </row>
    <row r="143" spans="1:14">
      <c r="A143" s="4" t="s">
        <v>57</v>
      </c>
      <c r="B143" s="7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0.038</v>
      </c>
      <c r="H143" s="4">
        <v>15</v>
      </c>
      <c r="I143" s="4">
        <v>94.2</v>
      </c>
      <c r="J143" s="4">
        <v>2.92</v>
      </c>
      <c r="K143" s="4">
        <v>0</v>
      </c>
      <c r="L143" s="4">
        <v>4.2</v>
      </c>
      <c r="M143" s="4">
        <v>715097.57</v>
      </c>
      <c r="N143" s="4">
        <v>151875.86</v>
      </c>
    </row>
    <row r="144" spans="1:14">
      <c r="A144" s="4" t="s">
        <v>57</v>
      </c>
      <c r="B144" s="7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0.069</v>
      </c>
      <c r="H144" s="4">
        <v>18</v>
      </c>
      <c r="I144" s="4">
        <v>88.5</v>
      </c>
      <c r="J144" s="4">
        <v>3.07</v>
      </c>
      <c r="K144" s="4">
        <v>0</v>
      </c>
      <c r="L144" s="4">
        <v>3.8</v>
      </c>
      <c r="M144" s="4">
        <v>682639.28</v>
      </c>
      <c r="N144" s="4">
        <v>77557.53</v>
      </c>
    </row>
    <row r="145" spans="1:14">
      <c r="A145" s="4" t="s">
        <v>57</v>
      </c>
      <c r="B145" s="7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9.7</v>
      </c>
      <c r="K145" s="4">
        <v>0</v>
      </c>
      <c r="L145" s="4">
        <v>3.9</v>
      </c>
      <c r="M145" s="4">
        <v>695098.51</v>
      </c>
      <c r="N145" s="4">
        <v>108192.75</v>
      </c>
    </row>
    <row r="146" spans="1:14">
      <c r="A146" s="4" t="s">
        <v>58</v>
      </c>
      <c r="B146" s="7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</v>
      </c>
      <c r="H146" s="4">
        <v>12</v>
      </c>
      <c r="I146" s="4">
        <v>90.2</v>
      </c>
      <c r="J146" s="4">
        <v>3.71</v>
      </c>
      <c r="K146" s="4">
        <v>0</v>
      </c>
      <c r="L146" s="4">
        <v>3.2</v>
      </c>
      <c r="M146" s="4">
        <v>577732.57</v>
      </c>
      <c r="N146" s="4">
        <v>93804.27</v>
      </c>
    </row>
    <row r="147" spans="1:14">
      <c r="A147" s="4" t="s">
        <v>58</v>
      </c>
      <c r="B147" s="7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 s="4">
        <v>3.5</v>
      </c>
      <c r="M147" s="4">
        <v>537058.33</v>
      </c>
      <c r="N147" s="4">
        <v>93555.71</v>
      </c>
    </row>
    <row r="148" spans="1:14">
      <c r="A148" s="4" t="s">
        <v>58</v>
      </c>
      <c r="B148" s="7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 s="4">
        <v>3.4</v>
      </c>
      <c r="M148" s="4">
        <v>601568.87</v>
      </c>
      <c r="N148" s="4">
        <v>91634.82</v>
      </c>
    </row>
    <row r="149" spans="1:14">
      <c r="A149" s="4" t="s">
        <v>58</v>
      </c>
      <c r="B149" s="7">
        <v>45748</v>
      </c>
      <c r="C149" s="4" t="s">
        <v>20</v>
      </c>
      <c r="D149" s="4" t="s">
        <v>16</v>
      </c>
      <c r="E149" s="4">
        <v>60322.4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 s="4">
        <v>3.4</v>
      </c>
      <c r="M149" s="4">
        <v>570964.84</v>
      </c>
      <c r="N149" s="4">
        <v>81331.07</v>
      </c>
    </row>
    <row r="150" spans="1:14">
      <c r="A150" s="4" t="s">
        <v>59</v>
      </c>
      <c r="B150" s="7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0.047</v>
      </c>
      <c r="H150" s="4">
        <v>17</v>
      </c>
      <c r="I150" s="4">
        <v>88.1</v>
      </c>
      <c r="J150" s="4">
        <v>19.78</v>
      </c>
      <c r="K150" s="4">
        <v>0</v>
      </c>
      <c r="L150" s="4">
        <v>3.8</v>
      </c>
      <c r="M150" s="4">
        <v>614024.91</v>
      </c>
      <c r="N150" s="4">
        <v>84828.93</v>
      </c>
    </row>
    <row r="151" spans="1:14">
      <c r="A151" s="4" t="s">
        <v>59</v>
      </c>
      <c r="B151" s="7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0.044</v>
      </c>
      <c r="H151" s="4">
        <v>13</v>
      </c>
      <c r="I151" s="4">
        <v>99</v>
      </c>
      <c r="J151" s="4">
        <v>5.45</v>
      </c>
      <c r="K151" s="4">
        <v>0</v>
      </c>
      <c r="L151" s="4">
        <v>4.1</v>
      </c>
      <c r="M151" s="4">
        <v>712868.35</v>
      </c>
      <c r="N151" s="4">
        <v>133650.51</v>
      </c>
    </row>
    <row r="152" spans="1:14">
      <c r="A152" s="4" t="s">
        <v>59</v>
      </c>
      <c r="B152" s="7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 s="4">
        <v>3.7</v>
      </c>
      <c r="M152" s="4">
        <v>696744.15</v>
      </c>
      <c r="N152" s="4">
        <v>152230.09</v>
      </c>
    </row>
    <row r="153" spans="1:14">
      <c r="A153" s="4" t="s">
        <v>59</v>
      </c>
      <c r="B153" s="7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</v>
      </c>
      <c r="H153" s="4">
        <v>15</v>
      </c>
      <c r="I153" s="4">
        <v>94.3</v>
      </c>
      <c r="J153" s="4">
        <v>3.55</v>
      </c>
      <c r="K153" s="4">
        <v>0</v>
      </c>
      <c r="L153" s="4">
        <v>4.1</v>
      </c>
      <c r="M153" s="4">
        <v>725847.99</v>
      </c>
      <c r="N153" s="4">
        <v>122698.73</v>
      </c>
    </row>
    <row r="154" spans="1:14">
      <c r="A154" s="4" t="s">
        <v>60</v>
      </c>
      <c r="B154" s="7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</v>
      </c>
      <c r="H154" s="4">
        <v>21</v>
      </c>
      <c r="I154" s="4">
        <v>87.4</v>
      </c>
      <c r="J154" s="4">
        <v>0.2</v>
      </c>
      <c r="K154" s="4">
        <v>0</v>
      </c>
      <c r="L154" s="4">
        <v>4.5</v>
      </c>
      <c r="M154" s="4">
        <v>785028.25</v>
      </c>
      <c r="N154" s="4">
        <v>110726.44</v>
      </c>
    </row>
    <row r="155" spans="1:14">
      <c r="A155" s="4" t="s">
        <v>60</v>
      </c>
      <c r="B155" s="7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</v>
      </c>
      <c r="H155" s="4">
        <v>18</v>
      </c>
      <c r="I155" s="4">
        <v>87</v>
      </c>
      <c r="J155" s="4">
        <v>2.09</v>
      </c>
      <c r="K155" s="4">
        <v>0</v>
      </c>
      <c r="L155" s="4">
        <v>4.2</v>
      </c>
      <c r="M155" s="4">
        <v>698492.67</v>
      </c>
      <c r="N155" s="4">
        <v>117319.32</v>
      </c>
    </row>
    <row r="156" spans="1:14">
      <c r="A156" s="4" t="s">
        <v>60</v>
      </c>
      <c r="B156" s="7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2.26</v>
      </c>
      <c r="K156" s="4">
        <v>0</v>
      </c>
      <c r="L156" s="4">
        <v>4.2</v>
      </c>
      <c r="M156" s="4">
        <v>685830.24</v>
      </c>
      <c r="N156" s="4">
        <v>128736.18</v>
      </c>
    </row>
    <row r="157" spans="1:14">
      <c r="A157" s="4" t="s">
        <v>60</v>
      </c>
      <c r="B157" s="7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 s="4">
        <v>4.4</v>
      </c>
      <c r="M157" s="4">
        <v>702318.94</v>
      </c>
      <c r="N157" s="4">
        <v>112829.29</v>
      </c>
    </row>
    <row r="158" spans="1:14">
      <c r="A158" s="4" t="s">
        <v>61</v>
      </c>
      <c r="B158" s="7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0.057</v>
      </c>
      <c r="H158" s="4">
        <v>19</v>
      </c>
      <c r="I158" s="4">
        <v>85.2</v>
      </c>
      <c r="J158" s="4">
        <v>3.08</v>
      </c>
      <c r="K158" s="4">
        <v>0</v>
      </c>
      <c r="L158" s="4">
        <v>3.9</v>
      </c>
      <c r="M158" s="4">
        <v>700078.32</v>
      </c>
      <c r="N158" s="4">
        <v>123707.58</v>
      </c>
    </row>
    <row r="159" spans="1:14">
      <c r="A159" s="4" t="s">
        <v>61</v>
      </c>
      <c r="B159" s="7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 s="4">
        <v>3</v>
      </c>
      <c r="M159" s="4">
        <v>602002.32</v>
      </c>
      <c r="N159" s="4">
        <v>110453.28</v>
      </c>
    </row>
    <row r="160" spans="1:14">
      <c r="A160" s="4" t="s">
        <v>61</v>
      </c>
      <c r="B160" s="7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 s="4">
        <v>3.4</v>
      </c>
      <c r="M160" s="4">
        <v>724216.07</v>
      </c>
      <c r="N160" s="4">
        <v>100627.56</v>
      </c>
    </row>
    <row r="161" spans="1:14">
      <c r="A161" s="4" t="s">
        <v>61</v>
      </c>
      <c r="B161" s="7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 s="4">
        <v>3.3</v>
      </c>
      <c r="M161" s="4">
        <v>620973.03</v>
      </c>
      <c r="N161" s="4">
        <v>72303.85</v>
      </c>
    </row>
    <row r="162" spans="1:14">
      <c r="A162" s="4" t="s">
        <v>62</v>
      </c>
      <c r="B162" s="7">
        <v>45658</v>
      </c>
      <c r="C162" s="4" t="s">
        <v>24</v>
      </c>
      <c r="D162" s="4" t="s">
        <v>18</v>
      </c>
      <c r="E162" s="4">
        <v>41443.41</v>
      </c>
      <c r="F162" s="4">
        <v>7455</v>
      </c>
      <c r="G162" s="4">
        <v>0.175</v>
      </c>
      <c r="H162" s="4">
        <v>16</v>
      </c>
      <c r="I162" s="4">
        <v>90.1</v>
      </c>
      <c r="J162" s="4">
        <v>4.05</v>
      </c>
      <c r="K162" s="4">
        <v>0</v>
      </c>
      <c r="L162" s="4">
        <v>4</v>
      </c>
      <c r="M162" s="4">
        <v>650480.06</v>
      </c>
      <c r="N162" s="4">
        <v>109012.07</v>
      </c>
    </row>
    <row r="163" spans="1:14">
      <c r="A163" s="4" t="s">
        <v>62</v>
      </c>
      <c r="B163" s="7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0.034</v>
      </c>
      <c r="H163" s="4">
        <v>20</v>
      </c>
      <c r="I163" s="4">
        <v>91</v>
      </c>
      <c r="J163" s="4">
        <v>4.36</v>
      </c>
      <c r="K163" s="4">
        <v>0</v>
      </c>
      <c r="L163" s="4">
        <v>4.2</v>
      </c>
      <c r="M163" s="4">
        <v>778298.88</v>
      </c>
      <c r="N163" s="4">
        <v>130076.72</v>
      </c>
    </row>
    <row r="164" spans="1:14">
      <c r="A164" s="4" t="s">
        <v>62</v>
      </c>
      <c r="B164" s="7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72.6</v>
      </c>
      <c r="J164" s="4"/>
      <c r="K164" s="4">
        <v>0</v>
      </c>
      <c r="L164" s="4">
        <v>4.2</v>
      </c>
      <c r="M164" s="4">
        <v>677096.71</v>
      </c>
      <c r="N164" s="4">
        <v>97174.11</v>
      </c>
    </row>
    <row r="165" spans="1:14">
      <c r="A165" s="4" t="s">
        <v>62</v>
      </c>
      <c r="B165" s="7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0.075</v>
      </c>
      <c r="H165" s="4">
        <v>19</v>
      </c>
      <c r="I165" s="4">
        <v>93.8</v>
      </c>
      <c r="J165" s="4">
        <v>0.54</v>
      </c>
      <c r="K165" s="4">
        <v>0</v>
      </c>
      <c r="L165" s="4">
        <v>4.3</v>
      </c>
      <c r="M165" s="4">
        <v>692008.64</v>
      </c>
      <c r="N165" s="4">
        <v>116337.87</v>
      </c>
    </row>
    <row r="166" spans="1:14">
      <c r="A166" s="4" t="s">
        <v>63</v>
      </c>
      <c r="B166" s="7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 s="4">
        <v>4.3</v>
      </c>
      <c r="M166" s="4">
        <v>825797.91</v>
      </c>
      <c r="N166" s="4">
        <v>130945.24</v>
      </c>
    </row>
    <row r="167" spans="1:14">
      <c r="A167" s="4" t="s">
        <v>63</v>
      </c>
      <c r="B167" s="7">
        <v>45689</v>
      </c>
      <c r="C167" s="4" t="s">
        <v>20</v>
      </c>
      <c r="D167" s="4" t="s">
        <v>28</v>
      </c>
      <c r="E167" s="4">
        <v>35303.3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 s="4">
        <v>4.2</v>
      </c>
      <c r="M167" s="4">
        <v>706285.52</v>
      </c>
      <c r="N167" s="4">
        <v>138014.72</v>
      </c>
    </row>
    <row r="168" spans="1:14">
      <c r="A168" s="4" t="s">
        <v>63</v>
      </c>
      <c r="B168" s="7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 s="4">
        <v>4</v>
      </c>
      <c r="M168" s="4">
        <v>665534.7</v>
      </c>
      <c r="N168" s="4">
        <v>113167.73</v>
      </c>
    </row>
    <row r="169" spans="1:14">
      <c r="A169" s="4" t="s">
        <v>63</v>
      </c>
      <c r="B169" s="7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 s="4">
        <v>4.1</v>
      </c>
      <c r="M169" s="4">
        <v>820729.29</v>
      </c>
      <c r="N169" s="4">
        <v>159325.47</v>
      </c>
    </row>
    <row r="170" spans="1:14">
      <c r="A170" s="4" t="s">
        <v>64</v>
      </c>
      <c r="B170" s="7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</v>
      </c>
      <c r="H170" s="4">
        <v>25</v>
      </c>
      <c r="I170" s="4">
        <v>87.1</v>
      </c>
      <c r="J170" s="4">
        <v>12.55</v>
      </c>
      <c r="K170" s="4">
        <v>0</v>
      </c>
      <c r="L170" s="4">
        <v>4.9</v>
      </c>
      <c r="M170" s="4">
        <v>739831.73</v>
      </c>
      <c r="N170" s="4">
        <v>119490.21</v>
      </c>
    </row>
    <row r="171" spans="1:14">
      <c r="A171" s="4" t="s">
        <v>64</v>
      </c>
      <c r="B171" s="7">
        <v>45689</v>
      </c>
      <c r="C171" s="4" t="s">
        <v>15</v>
      </c>
      <c r="D171" s="4" t="s">
        <v>16</v>
      </c>
      <c r="E171" s="4">
        <v>32834.48</v>
      </c>
      <c r="F171" s="4">
        <v>7576</v>
      </c>
      <c r="G171" s="4">
        <v>0.099</v>
      </c>
      <c r="H171" s="4">
        <v>15</v>
      </c>
      <c r="I171" s="4">
        <v>84.1</v>
      </c>
      <c r="J171" s="4">
        <v>3.48</v>
      </c>
      <c r="K171" s="4">
        <v>0</v>
      </c>
      <c r="L171" s="4">
        <v>5</v>
      </c>
      <c r="M171" s="4">
        <v>593637.14</v>
      </c>
      <c r="N171" s="4">
        <v>106648.14</v>
      </c>
    </row>
    <row r="172" spans="1:14">
      <c r="A172" s="4" t="s">
        <v>64</v>
      </c>
      <c r="B172" s="7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 s="4">
        <v>4.9</v>
      </c>
      <c r="M172" s="4">
        <v>769702.76</v>
      </c>
      <c r="N172" s="4">
        <v>158697</v>
      </c>
    </row>
    <row r="173" spans="1:14">
      <c r="A173" s="4" t="s">
        <v>64</v>
      </c>
      <c r="B173" s="7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0.118</v>
      </c>
      <c r="H173" s="4">
        <v>18</v>
      </c>
      <c r="I173" s="4">
        <v>89.8</v>
      </c>
      <c r="J173" s="4">
        <v>0.25</v>
      </c>
      <c r="K173" s="4">
        <v>0</v>
      </c>
      <c r="L173" s="4">
        <v>4.4</v>
      </c>
      <c r="M173" s="4">
        <v>679731.57</v>
      </c>
      <c r="N173" s="4">
        <v>121546.42</v>
      </c>
    </row>
    <row r="174" spans="1:14">
      <c r="A174" s="4" t="s">
        <v>65</v>
      </c>
      <c r="B174" s="7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 s="4">
        <v>3.3</v>
      </c>
      <c r="M174" s="4">
        <v>780344.18</v>
      </c>
      <c r="N174" s="4">
        <v>118239.09</v>
      </c>
    </row>
    <row r="175" spans="1:14">
      <c r="A175" s="4" t="s">
        <v>65</v>
      </c>
      <c r="B175" s="7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 s="4">
        <v>3.1</v>
      </c>
      <c r="M175" s="4">
        <v>721364.11</v>
      </c>
      <c r="N175" s="4">
        <v>147272.81</v>
      </c>
    </row>
    <row r="176" spans="1:14">
      <c r="A176" s="4" t="s">
        <v>65</v>
      </c>
      <c r="B176" s="7">
        <v>45717</v>
      </c>
      <c r="C176" s="4" t="s">
        <v>15</v>
      </c>
      <c r="D176" s="4" t="s">
        <v>16</v>
      </c>
      <c r="E176" s="4">
        <v>68040.15</v>
      </c>
      <c r="F176" s="4">
        <v>9826</v>
      </c>
      <c r="G176" s="4">
        <v>0.125</v>
      </c>
      <c r="H176" s="4">
        <v>20</v>
      </c>
      <c r="I176" s="4">
        <v>83.9</v>
      </c>
      <c r="J176" s="4">
        <v>9.12</v>
      </c>
      <c r="K176" s="4">
        <v>0</v>
      </c>
      <c r="L176" s="4">
        <v>3.6</v>
      </c>
      <c r="M176" s="4">
        <v>758138.29</v>
      </c>
      <c r="N176" s="4">
        <v>132975.26</v>
      </c>
    </row>
    <row r="177" spans="1:14">
      <c r="A177" s="4" t="s">
        <v>65</v>
      </c>
      <c r="B177" s="7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 s="4">
        <v>3.1</v>
      </c>
      <c r="M177" s="4">
        <v>804264</v>
      </c>
      <c r="N177" s="4">
        <v>167117.91</v>
      </c>
    </row>
    <row r="178" spans="1:14">
      <c r="A178" s="4" t="s">
        <v>66</v>
      </c>
      <c r="B178" s="7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0.046</v>
      </c>
      <c r="H178" s="4">
        <v>24</v>
      </c>
      <c r="I178" s="4">
        <v>76.6</v>
      </c>
      <c r="J178" s="4">
        <v>3.65</v>
      </c>
      <c r="K178" s="4">
        <v>1</v>
      </c>
      <c r="L178" s="4">
        <v>3.7</v>
      </c>
      <c r="M178" s="4">
        <v>887537.75</v>
      </c>
      <c r="N178" s="4">
        <v>160362.92</v>
      </c>
    </row>
    <row r="179" spans="1:14">
      <c r="A179" s="4" t="s">
        <v>66</v>
      </c>
      <c r="B179" s="7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0.177</v>
      </c>
      <c r="H179" s="4">
        <v>21</v>
      </c>
      <c r="I179" s="4">
        <v>90.9</v>
      </c>
      <c r="J179" s="4">
        <v>7.86</v>
      </c>
      <c r="K179" s="4">
        <v>0</v>
      </c>
      <c r="L179" s="4">
        <v>4</v>
      </c>
      <c r="M179" s="4">
        <v>783582</v>
      </c>
      <c r="N179" s="4">
        <v>130670.93</v>
      </c>
    </row>
    <row r="180" spans="1:14">
      <c r="A180" s="4" t="s">
        <v>66</v>
      </c>
      <c r="B180" s="7">
        <v>45717</v>
      </c>
      <c r="C180" s="4" t="s">
        <v>27</v>
      </c>
      <c r="D180" s="4" t="s">
        <v>21</v>
      </c>
      <c r="E180" s="4">
        <v>40535.09</v>
      </c>
      <c r="F180" s="4">
        <v>8870</v>
      </c>
      <c r="G180" s="4">
        <v>0.041</v>
      </c>
      <c r="H180" s="4">
        <v>21</v>
      </c>
      <c r="I180" s="4">
        <v>86.6</v>
      </c>
      <c r="J180" s="4">
        <v>0.3</v>
      </c>
      <c r="K180" s="4">
        <v>0</v>
      </c>
      <c r="L180" s="4">
        <v>4.1</v>
      </c>
      <c r="M180" s="4">
        <v>781955.52</v>
      </c>
      <c r="N180" s="4">
        <v>152578.71</v>
      </c>
    </row>
    <row r="181" spans="1:14">
      <c r="A181" s="4" t="s">
        <v>66</v>
      </c>
      <c r="B181" s="7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0.013</v>
      </c>
      <c r="H181" s="4">
        <v>20</v>
      </c>
      <c r="I181" s="4">
        <v>89.6</v>
      </c>
      <c r="J181" s="4">
        <v>8.44</v>
      </c>
      <c r="K181" s="4">
        <v>0</v>
      </c>
      <c r="L181" s="4">
        <v>4.1</v>
      </c>
      <c r="M181" s="4">
        <v>898031.04</v>
      </c>
      <c r="N181" s="4">
        <v>138666.5</v>
      </c>
    </row>
    <row r="182" spans="1:14">
      <c r="A182" s="4" t="s">
        <v>67</v>
      </c>
      <c r="B182" s="7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0.001</v>
      </c>
      <c r="H182" s="4">
        <v>24</v>
      </c>
      <c r="I182" s="4">
        <v>89.4</v>
      </c>
      <c r="J182" s="4">
        <v>5.27</v>
      </c>
      <c r="K182" s="4">
        <v>1</v>
      </c>
      <c r="L182" s="4">
        <v>3.9</v>
      </c>
      <c r="M182" s="4">
        <v>855341.28</v>
      </c>
      <c r="N182" s="4">
        <v>175823.8</v>
      </c>
    </row>
    <row r="183" spans="1:14">
      <c r="A183" s="4" t="s">
        <v>67</v>
      </c>
      <c r="B183" s="7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0.141</v>
      </c>
      <c r="H183" s="4">
        <v>22</v>
      </c>
      <c r="I183" s="4">
        <v>86.4</v>
      </c>
      <c r="J183" s="4">
        <v>13.22</v>
      </c>
      <c r="K183" s="4">
        <v>0</v>
      </c>
      <c r="L183" s="4">
        <v>3.6</v>
      </c>
      <c r="M183" s="4">
        <v>751393.88</v>
      </c>
      <c r="N183" s="4">
        <v>91480.32</v>
      </c>
    </row>
    <row r="184" spans="1:14">
      <c r="A184" s="4" t="s">
        <v>67</v>
      </c>
      <c r="B184" s="7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 s="4">
        <v>3.8</v>
      </c>
      <c r="M184" s="4">
        <v>761077.08</v>
      </c>
      <c r="N184" s="4">
        <v>113605.93</v>
      </c>
    </row>
    <row r="185" spans="1:14">
      <c r="A185" s="4" t="s">
        <v>67</v>
      </c>
      <c r="B185" s="7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0.07</v>
      </c>
      <c r="H185" s="4">
        <v>25</v>
      </c>
      <c r="I185" s="4">
        <v>90.1</v>
      </c>
      <c r="J185" s="4">
        <v>4.03</v>
      </c>
      <c r="K185" s="4">
        <v>0</v>
      </c>
      <c r="L185" s="4">
        <v>3.1</v>
      </c>
      <c r="M185" s="4">
        <v>819660.59</v>
      </c>
      <c r="N185" s="4">
        <v>172699.95</v>
      </c>
    </row>
    <row r="186" spans="1:14">
      <c r="A186" s="4" t="s">
        <v>68</v>
      </c>
      <c r="B186" s="7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0.072</v>
      </c>
      <c r="H186" s="4">
        <v>13</v>
      </c>
      <c r="I186" s="4">
        <v>93.7</v>
      </c>
      <c r="J186" s="4">
        <v>2.34</v>
      </c>
      <c r="K186" s="4">
        <v>0</v>
      </c>
      <c r="L186" s="4">
        <v>4.4</v>
      </c>
      <c r="M186" s="4">
        <v>681855.56</v>
      </c>
      <c r="N186" s="4">
        <v>117645.61</v>
      </c>
    </row>
    <row r="187" spans="1:14">
      <c r="A187" s="4" t="s">
        <v>68</v>
      </c>
      <c r="B187" s="7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 s="4">
        <v>4.4</v>
      </c>
      <c r="M187" s="4">
        <v>678311.17</v>
      </c>
      <c r="N187" s="4">
        <v>132029.76</v>
      </c>
    </row>
    <row r="188" spans="1:14">
      <c r="A188" s="4" t="s">
        <v>68</v>
      </c>
      <c r="B188" s="7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0.067</v>
      </c>
      <c r="H188" s="4">
        <v>14</v>
      </c>
      <c r="I188" s="4">
        <v>99</v>
      </c>
      <c r="J188" s="4">
        <v>0.48</v>
      </c>
      <c r="K188" s="4">
        <v>1</v>
      </c>
      <c r="L188" s="4">
        <v>4.3</v>
      </c>
      <c r="M188" s="4">
        <v>765906.95</v>
      </c>
      <c r="N188" s="4">
        <v>114005.9</v>
      </c>
    </row>
    <row r="189" spans="1:14">
      <c r="A189" s="4" t="s">
        <v>68</v>
      </c>
      <c r="B189" s="7">
        <v>45748</v>
      </c>
      <c r="C189" s="4" t="s">
        <v>20</v>
      </c>
      <c r="D189" s="4" t="s">
        <v>18</v>
      </c>
      <c r="E189" s="4">
        <v>72784.8</v>
      </c>
      <c r="F189" s="4">
        <v>7932</v>
      </c>
      <c r="G189" s="4">
        <v>0.094</v>
      </c>
      <c r="H189" s="4">
        <v>20</v>
      </c>
      <c r="I189" s="4">
        <v>74.9</v>
      </c>
      <c r="J189" s="4">
        <v>13.62</v>
      </c>
      <c r="K189" s="4">
        <v>0</v>
      </c>
      <c r="L189" s="4">
        <v>4.2</v>
      </c>
      <c r="M189" s="4">
        <v>712546.38</v>
      </c>
      <c r="N189" s="4">
        <v>101480.04</v>
      </c>
    </row>
    <row r="190" spans="1:14">
      <c r="A190" s="4" t="s">
        <v>69</v>
      </c>
      <c r="B190" s="7">
        <v>45658</v>
      </c>
      <c r="C190" s="4" t="s">
        <v>15</v>
      </c>
      <c r="D190" s="4" t="s">
        <v>18</v>
      </c>
      <c r="E190" s="4">
        <v>71641.9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 s="4">
        <v>4.1</v>
      </c>
      <c r="M190" s="4">
        <v>625993.83</v>
      </c>
      <c r="N190" s="4">
        <v>98960.32</v>
      </c>
    </row>
    <row r="191" spans="1:14">
      <c r="A191" s="4" t="s">
        <v>69</v>
      </c>
      <c r="B191" s="7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0.058</v>
      </c>
      <c r="H191" s="4">
        <v>10</v>
      </c>
      <c r="I191" s="4">
        <v>91.3</v>
      </c>
      <c r="J191" s="4">
        <v>1.99</v>
      </c>
      <c r="K191" s="4">
        <v>0</v>
      </c>
      <c r="L191" s="4">
        <v>3.8</v>
      </c>
      <c r="M191" s="4">
        <v>550962.93</v>
      </c>
      <c r="N191" s="4">
        <v>97144.58</v>
      </c>
    </row>
    <row r="192" spans="1:14">
      <c r="A192" s="4" t="s">
        <v>69</v>
      </c>
      <c r="B192" s="7">
        <v>45717</v>
      </c>
      <c r="C192" s="4" t="s">
        <v>15</v>
      </c>
      <c r="D192" s="4" t="s">
        <v>18</v>
      </c>
      <c r="E192" s="4">
        <v>37705.88</v>
      </c>
      <c r="F192" s="4">
        <v>1268</v>
      </c>
      <c r="G192" s="4">
        <v>0.259</v>
      </c>
      <c r="H192" s="4">
        <v>9</v>
      </c>
      <c r="I192" s="4">
        <v>84.1</v>
      </c>
      <c r="J192" s="4">
        <v>4.77</v>
      </c>
      <c r="K192" s="4">
        <v>0</v>
      </c>
      <c r="L192" s="4">
        <v>3.8</v>
      </c>
      <c r="M192" s="4">
        <v>443275.59</v>
      </c>
      <c r="N192" s="4">
        <v>53544.36</v>
      </c>
    </row>
    <row r="193" spans="1:14">
      <c r="A193" s="4" t="s">
        <v>69</v>
      </c>
      <c r="B193" s="7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 s="4">
        <v>4.4</v>
      </c>
      <c r="M193" s="4">
        <v>554012.07</v>
      </c>
      <c r="N193" s="4">
        <v>81101.62</v>
      </c>
    </row>
    <row r="194" spans="1:14">
      <c r="A194" s="4" t="s">
        <v>70</v>
      </c>
      <c r="B194" s="7">
        <v>45658</v>
      </c>
      <c r="C194" s="4" t="s">
        <v>27</v>
      </c>
      <c r="D194" s="4" t="s">
        <v>16</v>
      </c>
      <c r="E194" s="4">
        <v>81796.74</v>
      </c>
      <c r="F194" s="4">
        <v>6177</v>
      </c>
      <c r="G194" s="4">
        <v>0.164</v>
      </c>
      <c r="H194" s="4">
        <v>14</v>
      </c>
      <c r="I194" s="4">
        <v>87.9</v>
      </c>
      <c r="J194" s="4">
        <v>0.53</v>
      </c>
      <c r="K194" s="4">
        <v>0</v>
      </c>
      <c r="L194" s="4">
        <v>3.2</v>
      </c>
      <c r="M194" s="4">
        <v>643428.85</v>
      </c>
      <c r="N194" s="4">
        <v>94477.63</v>
      </c>
    </row>
    <row r="195" spans="1:14">
      <c r="A195" s="4" t="s">
        <v>70</v>
      </c>
      <c r="B195" s="7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 s="4">
        <v>3.2</v>
      </c>
      <c r="M195" s="4">
        <v>611924.27</v>
      </c>
      <c r="N195" s="4">
        <v>115488.75</v>
      </c>
    </row>
    <row r="196" spans="1:14">
      <c r="A196" s="4" t="s">
        <v>70</v>
      </c>
      <c r="B196" s="7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0.089</v>
      </c>
      <c r="H196" s="4">
        <v>14</v>
      </c>
      <c r="I196" s="4">
        <v>86.6</v>
      </c>
      <c r="J196" s="4">
        <v>3.63</v>
      </c>
      <c r="K196" s="4">
        <v>0</v>
      </c>
      <c r="L196" s="4">
        <v>3.7</v>
      </c>
      <c r="M196" s="4">
        <v>559422.02</v>
      </c>
      <c r="N196" s="4">
        <v>73528.74</v>
      </c>
    </row>
    <row r="197" spans="1:14">
      <c r="A197" s="4" t="s">
        <v>70</v>
      </c>
      <c r="B197" s="7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</v>
      </c>
      <c r="H197" s="4">
        <v>7</v>
      </c>
      <c r="I197" s="4">
        <v>85.4</v>
      </c>
      <c r="J197" s="4">
        <v>13.48</v>
      </c>
      <c r="K197" s="4">
        <v>0</v>
      </c>
      <c r="L197" s="4"/>
      <c r="M197" s="4">
        <v>449465.06</v>
      </c>
      <c r="N197" s="4">
        <v>65694.78</v>
      </c>
    </row>
    <row r="198" spans="1:14">
      <c r="A198" s="4" t="s">
        <v>71</v>
      </c>
      <c r="B198" s="7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0.098</v>
      </c>
      <c r="H198" s="4">
        <v>11</v>
      </c>
      <c r="I198" s="4">
        <v>89.6</v>
      </c>
      <c r="J198" s="4">
        <v>0.2</v>
      </c>
      <c r="K198" s="4">
        <v>0</v>
      </c>
      <c r="L198" s="4">
        <v>4.2</v>
      </c>
      <c r="M198" s="4">
        <v>691447.43</v>
      </c>
      <c r="N198" s="4">
        <v>114077.69</v>
      </c>
    </row>
    <row r="199" spans="1:14">
      <c r="A199" s="4" t="s">
        <v>71</v>
      </c>
      <c r="B199" s="7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0.027</v>
      </c>
      <c r="H199" s="4">
        <v>15</v>
      </c>
      <c r="I199" s="4">
        <v>90.6</v>
      </c>
      <c r="J199" s="4">
        <v>12.82</v>
      </c>
      <c r="K199" s="4">
        <v>0</v>
      </c>
      <c r="L199" s="4">
        <v>4.6</v>
      </c>
      <c r="M199" s="4">
        <v>574066.61</v>
      </c>
      <c r="N199" s="4">
        <v>124674.67</v>
      </c>
    </row>
    <row r="200" spans="1:14">
      <c r="A200" s="4" t="s">
        <v>71</v>
      </c>
      <c r="B200" s="7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0.284</v>
      </c>
      <c r="H200" s="4">
        <v>13</v>
      </c>
      <c r="I200" s="4">
        <v>86</v>
      </c>
      <c r="J200" s="4">
        <v>2.24</v>
      </c>
      <c r="K200" s="4">
        <v>1</v>
      </c>
      <c r="L200" s="4">
        <v>4.3</v>
      </c>
      <c r="M200" s="4">
        <v>578949.84</v>
      </c>
      <c r="N200" s="4">
        <v>80253.65</v>
      </c>
    </row>
    <row r="201" spans="1:14">
      <c r="A201" s="4" t="s">
        <v>71</v>
      </c>
      <c r="B201" s="7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 s="4">
        <v>4.8</v>
      </c>
      <c r="M201" s="4">
        <v>735786.64</v>
      </c>
      <c r="N201" s="4">
        <v>126540.66</v>
      </c>
    </row>
    <row r="202" spans="1:14">
      <c r="A202" s="4" t="s">
        <v>72</v>
      </c>
      <c r="B202" s="7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 s="4">
        <v>4.6</v>
      </c>
      <c r="M202" s="4">
        <v>598904.9</v>
      </c>
      <c r="N202" s="4">
        <v>72861</v>
      </c>
    </row>
    <row r="203" spans="1:14">
      <c r="A203" s="4" t="s">
        <v>72</v>
      </c>
      <c r="B203" s="7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 s="4">
        <v>4.8</v>
      </c>
      <c r="M203" s="4">
        <v>787715.51</v>
      </c>
      <c r="N203" s="4">
        <v>128969.62</v>
      </c>
    </row>
    <row r="204" spans="1:14">
      <c r="A204" s="4" t="s">
        <v>72</v>
      </c>
      <c r="B204" s="7">
        <v>45717</v>
      </c>
      <c r="C204" s="4" t="s">
        <v>15</v>
      </c>
      <c r="D204" s="4" t="s">
        <v>21</v>
      </c>
      <c r="E204" s="4">
        <v>35203.23</v>
      </c>
      <c r="F204" s="4">
        <v>6896</v>
      </c>
      <c r="G204" s="4">
        <v>0.032</v>
      </c>
      <c r="H204" s="4">
        <v>14</v>
      </c>
      <c r="I204" s="4">
        <v>80.8</v>
      </c>
      <c r="J204" s="4">
        <v>8.44</v>
      </c>
      <c r="K204" s="4">
        <v>1</v>
      </c>
      <c r="L204" s="4">
        <v>5</v>
      </c>
      <c r="M204" s="4">
        <v>607084.92</v>
      </c>
      <c r="N204" s="4">
        <v>98558.49</v>
      </c>
    </row>
    <row r="205" spans="1:14">
      <c r="A205" s="4" t="s">
        <v>72</v>
      </c>
      <c r="B205" s="7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 s="4">
        <v>4</v>
      </c>
      <c r="M205" s="4">
        <v>650795.49</v>
      </c>
      <c r="N205" s="4">
        <v>103035.89</v>
      </c>
    </row>
    <row r="206" spans="1:14">
      <c r="A206" s="4" t="s">
        <v>73</v>
      </c>
      <c r="B206" s="7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0.07</v>
      </c>
      <c r="H206" s="4">
        <v>24</v>
      </c>
      <c r="I206" s="4">
        <v>94.3</v>
      </c>
      <c r="J206" s="4">
        <v>0.87</v>
      </c>
      <c r="K206" s="4">
        <v>0</v>
      </c>
      <c r="L206" s="4">
        <v>3.7</v>
      </c>
      <c r="M206" s="4">
        <v>825060.52</v>
      </c>
      <c r="N206" s="4">
        <v>143613.15</v>
      </c>
    </row>
    <row r="207" spans="1:14">
      <c r="A207" s="4" t="s">
        <v>73</v>
      </c>
      <c r="B207" s="7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 s="4">
        <v>3.7</v>
      </c>
      <c r="M207" s="4">
        <v>795464.47</v>
      </c>
      <c r="N207" s="4">
        <v>161150.52</v>
      </c>
    </row>
    <row r="208" spans="1:14">
      <c r="A208" s="4" t="s">
        <v>73</v>
      </c>
      <c r="B208" s="7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0.149</v>
      </c>
      <c r="H208" s="4">
        <v>19</v>
      </c>
      <c r="I208" s="4">
        <v>83.2</v>
      </c>
      <c r="J208" s="4">
        <v>3.82</v>
      </c>
      <c r="K208" s="4">
        <v>0</v>
      </c>
      <c r="L208" s="4">
        <v>3.7</v>
      </c>
      <c r="M208" s="4">
        <v>671868.59</v>
      </c>
      <c r="N208" s="4">
        <v>71003.28</v>
      </c>
    </row>
    <row r="209" spans="1:14">
      <c r="A209" s="4" t="s">
        <v>73</v>
      </c>
      <c r="B209" s="7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</v>
      </c>
      <c r="H209" s="4">
        <v>18</v>
      </c>
      <c r="I209" s="4">
        <v>93.6</v>
      </c>
      <c r="J209" s="4">
        <v>2.7</v>
      </c>
      <c r="K209" s="4">
        <v>0</v>
      </c>
      <c r="L209" s="4">
        <v>3.7</v>
      </c>
      <c r="M209" s="4">
        <v>675917.63</v>
      </c>
      <c r="N209" s="4">
        <v>112564.75</v>
      </c>
    </row>
    <row r="210" spans="1:14">
      <c r="A210" s="4" t="s">
        <v>74</v>
      </c>
      <c r="B210" s="7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0.097</v>
      </c>
      <c r="H210" s="4">
        <v>24</v>
      </c>
      <c r="I210" s="4">
        <v>87</v>
      </c>
      <c r="J210" s="4">
        <v>3.84</v>
      </c>
      <c r="K210" s="4">
        <v>1</v>
      </c>
      <c r="L210" s="4">
        <v>3.7</v>
      </c>
      <c r="M210" s="4">
        <v>810446.53</v>
      </c>
      <c r="N210" s="4">
        <v>200575.34</v>
      </c>
    </row>
    <row r="211" spans="1:14">
      <c r="A211" s="4" t="s">
        <v>74</v>
      </c>
      <c r="B211" s="7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</v>
      </c>
      <c r="H211" s="4">
        <v>19</v>
      </c>
      <c r="I211" s="4">
        <v>84.9</v>
      </c>
      <c r="J211" s="4">
        <v>5.09</v>
      </c>
      <c r="K211" s="4">
        <v>0</v>
      </c>
      <c r="L211" s="4">
        <v>3.3</v>
      </c>
      <c r="M211" s="4">
        <v>691288.19</v>
      </c>
      <c r="N211" s="4">
        <v>159074.14</v>
      </c>
    </row>
    <row r="212" spans="1:14">
      <c r="A212" s="4" t="s">
        <v>74</v>
      </c>
      <c r="B212" s="7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0.029</v>
      </c>
      <c r="H212" s="4">
        <v>31</v>
      </c>
      <c r="I212" s="4">
        <v>91.7</v>
      </c>
      <c r="J212" s="4">
        <v>3.82</v>
      </c>
      <c r="K212" s="4">
        <v>1</v>
      </c>
      <c r="L212" s="4">
        <v>3.7</v>
      </c>
      <c r="M212" s="4">
        <v>946833.54</v>
      </c>
      <c r="N212" s="4">
        <v>184540.31</v>
      </c>
    </row>
    <row r="213" spans="1:14">
      <c r="A213" s="4" t="s">
        <v>74</v>
      </c>
      <c r="B213" s="7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0.093</v>
      </c>
      <c r="H213" s="4">
        <v>21</v>
      </c>
      <c r="I213" s="4">
        <v>87</v>
      </c>
      <c r="J213" s="4">
        <v>12.28</v>
      </c>
      <c r="K213" s="4">
        <v>0</v>
      </c>
      <c r="L213" s="4">
        <v>4.1</v>
      </c>
      <c r="M213" s="4">
        <v>761963.23</v>
      </c>
      <c r="N213" s="4">
        <v>150113.61</v>
      </c>
    </row>
    <row r="214" spans="1:14">
      <c r="A214" s="4" t="s">
        <v>75</v>
      </c>
      <c r="B214" s="7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0.091</v>
      </c>
      <c r="H214" s="4">
        <v>25</v>
      </c>
      <c r="I214" s="4">
        <v>89.7</v>
      </c>
      <c r="J214" s="4">
        <v>2.8</v>
      </c>
      <c r="K214" s="4">
        <v>0</v>
      </c>
      <c r="L214" s="4">
        <v>4.3</v>
      </c>
      <c r="M214" s="4">
        <v>812152.6</v>
      </c>
      <c r="N214" s="4">
        <v>138419.43</v>
      </c>
    </row>
    <row r="215" spans="1:14">
      <c r="A215" s="4" t="s">
        <v>75</v>
      </c>
      <c r="B215" s="7">
        <v>45689</v>
      </c>
      <c r="C215" s="4" t="s">
        <v>27</v>
      </c>
      <c r="D215" s="4" t="s">
        <v>16</v>
      </c>
      <c r="E215" s="4">
        <v>41819.45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 s="4">
        <v>4.2</v>
      </c>
      <c r="M215" s="4">
        <v>804975.5</v>
      </c>
      <c r="N215" s="4">
        <v>140054.5</v>
      </c>
    </row>
    <row r="216" spans="1:14">
      <c r="A216" s="4" t="s">
        <v>75</v>
      </c>
      <c r="B216" s="7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 s="4">
        <v>4.7</v>
      </c>
      <c r="M216" s="4">
        <v>752321.72</v>
      </c>
      <c r="N216" s="4">
        <v>137788.51</v>
      </c>
    </row>
    <row r="217" spans="1:14">
      <c r="A217" s="4" t="s">
        <v>75</v>
      </c>
      <c r="B217" s="7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0.147</v>
      </c>
      <c r="H217" s="4">
        <v>25</v>
      </c>
      <c r="I217" s="4">
        <v>88.4</v>
      </c>
      <c r="J217" s="4">
        <v>2.44</v>
      </c>
      <c r="K217" s="4">
        <v>0</v>
      </c>
      <c r="L217" s="4">
        <v>4.9</v>
      </c>
      <c r="M217" s="4">
        <v>836908.24</v>
      </c>
      <c r="N217" s="4">
        <v>141090.26</v>
      </c>
    </row>
    <row r="218" spans="1:14">
      <c r="A218" s="4" t="s">
        <v>76</v>
      </c>
      <c r="B218" s="7">
        <v>45658</v>
      </c>
      <c r="C218" s="4" t="s">
        <v>20</v>
      </c>
      <c r="D218" s="4" t="s">
        <v>21</v>
      </c>
      <c r="E218" s="4">
        <v>69180.54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 s="4">
        <v>3.3</v>
      </c>
      <c r="M218" s="4">
        <v>674289.1</v>
      </c>
      <c r="N218" s="4">
        <v>117773.79</v>
      </c>
    </row>
    <row r="219" spans="1:14">
      <c r="A219" s="4" t="s">
        <v>76</v>
      </c>
      <c r="B219" s="7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 s="4">
        <v>3.9</v>
      </c>
      <c r="M219" s="4">
        <v>622892.42</v>
      </c>
      <c r="N219" s="4">
        <v>101032.52</v>
      </c>
    </row>
    <row r="220" spans="1:14">
      <c r="A220" s="4" t="s">
        <v>76</v>
      </c>
      <c r="B220" s="7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</v>
      </c>
      <c r="H220" s="4">
        <v>14</v>
      </c>
      <c r="I220" s="4">
        <v>90.7</v>
      </c>
      <c r="J220" s="4">
        <v>1.92</v>
      </c>
      <c r="K220" s="4">
        <v>0</v>
      </c>
      <c r="L220" s="4">
        <v>3.7</v>
      </c>
      <c r="M220" s="4">
        <v>673348.56</v>
      </c>
      <c r="N220" s="4">
        <v>69464.59</v>
      </c>
    </row>
    <row r="221" spans="1:14">
      <c r="A221" s="4" t="s">
        <v>76</v>
      </c>
      <c r="B221" s="7">
        <v>45748</v>
      </c>
      <c r="C221" s="4" t="s">
        <v>20</v>
      </c>
      <c r="D221" s="4" t="s">
        <v>21</v>
      </c>
      <c r="E221" s="4">
        <v>16451.85</v>
      </c>
      <c r="F221" s="4">
        <v>4678</v>
      </c>
      <c r="G221" s="4">
        <v>0.133</v>
      </c>
      <c r="H221" s="4">
        <v>11</v>
      </c>
      <c r="I221" s="4">
        <v>95.9</v>
      </c>
      <c r="J221" s="4">
        <v>3.1</v>
      </c>
      <c r="K221" s="4">
        <v>0</v>
      </c>
      <c r="L221" s="4">
        <v>3.9</v>
      </c>
      <c r="M221" s="4">
        <v>606278.3</v>
      </c>
      <c r="N221" s="4">
        <v>102213.26</v>
      </c>
    </row>
    <row r="222" spans="1:14">
      <c r="A222" s="4" t="s">
        <v>77</v>
      </c>
      <c r="B222" s="7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0.146</v>
      </c>
      <c r="H222" s="4">
        <v>18</v>
      </c>
      <c r="I222" s="4">
        <v>90.6</v>
      </c>
      <c r="J222" s="4">
        <v>6.34</v>
      </c>
      <c r="K222" s="4">
        <v>1</v>
      </c>
      <c r="L222" s="4">
        <v>3.8</v>
      </c>
      <c r="M222" s="4">
        <v>712219.81</v>
      </c>
      <c r="N222" s="4">
        <v>85906.54</v>
      </c>
    </row>
    <row r="223" spans="1:14">
      <c r="A223" s="4" t="s">
        <v>77</v>
      </c>
      <c r="B223" s="7">
        <v>45689</v>
      </c>
      <c r="C223" s="4" t="s">
        <v>15</v>
      </c>
      <c r="D223" s="4" t="s">
        <v>18</v>
      </c>
      <c r="E223" s="4">
        <v>27194.64</v>
      </c>
      <c r="F223" s="4">
        <v>7404</v>
      </c>
      <c r="G223" s="4">
        <v>0.088</v>
      </c>
      <c r="H223" s="4">
        <v>18</v>
      </c>
      <c r="I223" s="4">
        <v>90.2</v>
      </c>
      <c r="J223" s="4">
        <v>1.2</v>
      </c>
      <c r="K223" s="4">
        <v>0</v>
      </c>
      <c r="L223" s="4">
        <v>3.4</v>
      </c>
      <c r="M223" s="4">
        <v>672670.54</v>
      </c>
      <c r="N223" s="4">
        <v>132684.18</v>
      </c>
    </row>
    <row r="224" spans="1:14">
      <c r="A224" s="4" t="s">
        <v>77</v>
      </c>
      <c r="B224" s="7">
        <v>45717</v>
      </c>
      <c r="C224" s="4" t="s">
        <v>15</v>
      </c>
      <c r="D224" s="4" t="s">
        <v>18</v>
      </c>
      <c r="E224" s="4">
        <v>66962.74</v>
      </c>
      <c r="F224" s="4">
        <v>7880</v>
      </c>
      <c r="G224" s="4">
        <v>0.116</v>
      </c>
      <c r="H224" s="4">
        <v>19</v>
      </c>
      <c r="I224" s="4">
        <v>90.4</v>
      </c>
      <c r="J224" s="4">
        <v>4.5</v>
      </c>
      <c r="K224" s="4">
        <v>0</v>
      </c>
      <c r="L224" s="4">
        <v>3.3</v>
      </c>
      <c r="M224" s="4">
        <v>732667.92</v>
      </c>
      <c r="N224" s="4">
        <v>128654.46</v>
      </c>
    </row>
    <row r="225" spans="1:14">
      <c r="A225" s="4" t="s">
        <v>77</v>
      </c>
      <c r="B225" s="7">
        <v>45748</v>
      </c>
      <c r="C225" s="4" t="s">
        <v>15</v>
      </c>
      <c r="D225" s="4" t="s">
        <v>18</v>
      </c>
      <c r="E225" s="4">
        <v>73540.99</v>
      </c>
      <c r="F225" s="4">
        <v>8773</v>
      </c>
      <c r="G225" s="4">
        <v>0.035</v>
      </c>
      <c r="H225" s="4">
        <v>21</v>
      </c>
      <c r="I225" s="4">
        <v>84.4</v>
      </c>
      <c r="J225" s="4">
        <v>6.68</v>
      </c>
      <c r="K225" s="4">
        <v>0</v>
      </c>
      <c r="L225" s="4">
        <v>3.6</v>
      </c>
      <c r="M225" s="4">
        <v>723531.4</v>
      </c>
      <c r="N225" s="4">
        <v>108794.85</v>
      </c>
    </row>
    <row r="226" spans="1:14">
      <c r="A226" s="4" t="s">
        <v>78</v>
      </c>
      <c r="B226" s="7">
        <v>45658</v>
      </c>
      <c r="C226" s="4" t="s">
        <v>15</v>
      </c>
      <c r="D226" s="4" t="s">
        <v>28</v>
      </c>
      <c r="E226" s="4">
        <v>68212.29</v>
      </c>
      <c r="F226" s="4">
        <v>4713</v>
      </c>
      <c r="G226" s="4">
        <v>0.198</v>
      </c>
      <c r="H226" s="4">
        <v>15</v>
      </c>
      <c r="I226" s="4">
        <v>82.6</v>
      </c>
      <c r="J226" s="4">
        <v>4.07</v>
      </c>
      <c r="K226" s="4">
        <v>1</v>
      </c>
      <c r="L226" s="4">
        <v>3</v>
      </c>
      <c r="M226" s="4">
        <v>641564.6</v>
      </c>
      <c r="N226" s="4">
        <v>90468.96</v>
      </c>
    </row>
    <row r="227" spans="1:14">
      <c r="A227" s="4" t="s">
        <v>78</v>
      </c>
      <c r="B227" s="7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 s="4">
        <v>3.4</v>
      </c>
      <c r="M227" s="4">
        <v>536545.49</v>
      </c>
      <c r="N227" s="4">
        <v>97917.45</v>
      </c>
    </row>
    <row r="228" spans="1:14">
      <c r="A228" s="4" t="s">
        <v>78</v>
      </c>
      <c r="B228" s="7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</v>
      </c>
      <c r="H228" s="4">
        <v>12</v>
      </c>
      <c r="I228" s="4">
        <v>83.2</v>
      </c>
      <c r="J228" s="4">
        <v>15.58</v>
      </c>
      <c r="K228" s="4">
        <v>0</v>
      </c>
      <c r="L228" s="4">
        <v>3.3</v>
      </c>
      <c r="M228" s="4">
        <v>527681.56</v>
      </c>
      <c r="N228" s="4">
        <v>63153.05</v>
      </c>
    </row>
    <row r="229" spans="1:14">
      <c r="A229" s="4" t="s">
        <v>78</v>
      </c>
      <c r="B229" s="7">
        <v>45748</v>
      </c>
      <c r="C229" s="4" t="s">
        <v>15</v>
      </c>
      <c r="D229" s="4" t="s">
        <v>28</v>
      </c>
      <c r="E229" s="4">
        <v>39341.45</v>
      </c>
      <c r="F229" s="4">
        <v>1375</v>
      </c>
      <c r="G229" s="4">
        <v>0.093</v>
      </c>
      <c r="H229" s="4">
        <v>5</v>
      </c>
      <c r="I229" s="4">
        <v>95</v>
      </c>
      <c r="J229" s="4">
        <v>5.32</v>
      </c>
      <c r="K229" s="4">
        <v>0</v>
      </c>
      <c r="L229" s="4"/>
      <c r="M229" s="4">
        <v>529598.94</v>
      </c>
      <c r="N229" s="4">
        <v>84334.33</v>
      </c>
    </row>
    <row r="230" spans="1:14">
      <c r="A230" s="4" t="s">
        <v>79</v>
      </c>
      <c r="B230" s="7">
        <v>45658</v>
      </c>
      <c r="C230" s="4" t="s">
        <v>15</v>
      </c>
      <c r="D230" s="4" t="s">
        <v>18</v>
      </c>
      <c r="E230" s="4">
        <v>37324.23</v>
      </c>
      <c r="F230" s="4">
        <v>5957</v>
      </c>
      <c r="G230" s="4">
        <v>0.071</v>
      </c>
      <c r="H230" s="4">
        <v>12</v>
      </c>
      <c r="I230" s="4">
        <v>85.9</v>
      </c>
      <c r="J230" s="4">
        <v>0.37</v>
      </c>
      <c r="K230" s="4">
        <v>0</v>
      </c>
      <c r="L230" s="4">
        <v>3.8</v>
      </c>
      <c r="M230" s="4">
        <v>570963.31</v>
      </c>
      <c r="N230" s="4">
        <v>87342.25</v>
      </c>
    </row>
    <row r="231" spans="1:14">
      <c r="A231" s="4" t="s">
        <v>79</v>
      </c>
      <c r="B231" s="7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</v>
      </c>
      <c r="H231" s="4">
        <v>24</v>
      </c>
      <c r="I231" s="4">
        <v>86.2</v>
      </c>
      <c r="J231" s="4">
        <v>21.63</v>
      </c>
      <c r="K231" s="4">
        <v>0</v>
      </c>
      <c r="L231" s="4">
        <v>4</v>
      </c>
      <c r="M231" s="4">
        <v>870937.4</v>
      </c>
      <c r="N231" s="4">
        <v>175282.74</v>
      </c>
    </row>
    <row r="232" spans="1:14">
      <c r="A232" s="4" t="s">
        <v>79</v>
      </c>
      <c r="B232" s="7">
        <v>45717</v>
      </c>
      <c r="C232" s="4" t="s">
        <v>15</v>
      </c>
      <c r="D232" s="4" t="s">
        <v>18</v>
      </c>
      <c r="E232" s="4">
        <v>33173.95</v>
      </c>
      <c r="F232" s="4">
        <v>6545</v>
      </c>
      <c r="G232" s="4">
        <v>0.169</v>
      </c>
      <c r="H232" s="4">
        <v>15</v>
      </c>
      <c r="I232" s="4">
        <v>84.4</v>
      </c>
      <c r="J232" s="4">
        <v>2.48</v>
      </c>
      <c r="K232" s="4">
        <v>0</v>
      </c>
      <c r="L232" s="4">
        <v>3.9</v>
      </c>
      <c r="M232" s="4">
        <v>596969.27</v>
      </c>
      <c r="N232" s="4">
        <v>105669.51</v>
      </c>
    </row>
    <row r="233" spans="1:14">
      <c r="A233" s="4" t="s">
        <v>79</v>
      </c>
      <c r="B233" s="7">
        <v>45748</v>
      </c>
      <c r="C233" s="4" t="s">
        <v>15</v>
      </c>
      <c r="D233" s="4" t="s">
        <v>18</v>
      </c>
      <c r="E233" s="4">
        <v>25818.08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v>0</v>
      </c>
      <c r="L233" s="4">
        <v>3.7</v>
      </c>
      <c r="M233" s="4">
        <v>647512.85</v>
      </c>
      <c r="N233" s="4">
        <v>153835.57</v>
      </c>
    </row>
    <row r="234" spans="1:14">
      <c r="A234" s="4" t="s">
        <v>80</v>
      </c>
      <c r="B234" s="7">
        <v>45658</v>
      </c>
      <c r="C234" s="4" t="s">
        <v>27</v>
      </c>
      <c r="D234" s="4" t="s">
        <v>16</v>
      </c>
      <c r="E234" s="4">
        <v>47241.92</v>
      </c>
      <c r="F234" s="4">
        <v>4264</v>
      </c>
      <c r="G234" s="4">
        <v>0.069</v>
      </c>
      <c r="H234" s="4">
        <v>13</v>
      </c>
      <c r="I234" s="4">
        <v>95.3</v>
      </c>
      <c r="J234" s="4">
        <v>0.85</v>
      </c>
      <c r="K234" s="4">
        <v>0</v>
      </c>
      <c r="L234" s="4">
        <v>4.3</v>
      </c>
      <c r="M234" s="4">
        <v>658072.14</v>
      </c>
      <c r="N234" s="4">
        <v>110595.89</v>
      </c>
    </row>
    <row r="235" spans="1:14">
      <c r="A235" s="4" t="s">
        <v>80</v>
      </c>
      <c r="B235" s="7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 s="4">
        <v>4</v>
      </c>
      <c r="M235" s="4">
        <v>723305.11</v>
      </c>
      <c r="N235" s="4">
        <v>128468.7</v>
      </c>
    </row>
    <row r="236" spans="1:14">
      <c r="A236" s="4" t="s">
        <v>80</v>
      </c>
      <c r="B236" s="7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0.048</v>
      </c>
      <c r="H236" s="4">
        <v>16</v>
      </c>
      <c r="I236" s="4">
        <v>81.2</v>
      </c>
      <c r="J236" s="4">
        <v>1.46</v>
      </c>
      <c r="K236" s="4">
        <v>0</v>
      </c>
      <c r="L236" s="4">
        <v>4.5</v>
      </c>
      <c r="M236" s="4">
        <v>640666.53</v>
      </c>
      <c r="N236" s="4">
        <v>134919.16</v>
      </c>
    </row>
    <row r="237" spans="1:14">
      <c r="A237" s="4" t="s">
        <v>80</v>
      </c>
      <c r="B237" s="7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0.119</v>
      </c>
      <c r="H237" s="4">
        <v>17</v>
      </c>
      <c r="I237" s="4">
        <v>92.2</v>
      </c>
      <c r="J237" s="4">
        <v>3.02</v>
      </c>
      <c r="K237" s="4">
        <v>0</v>
      </c>
      <c r="L237" s="4">
        <v>4.1</v>
      </c>
      <c r="M237" s="4">
        <v>670629.48</v>
      </c>
      <c r="N237" s="4">
        <v>100140.8</v>
      </c>
    </row>
    <row r="238" spans="1:14">
      <c r="A238" s="4" t="s">
        <v>81</v>
      </c>
      <c r="B238" s="7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 s="4">
        <v>3.7</v>
      </c>
      <c r="M238" s="4">
        <v>721079.35</v>
      </c>
      <c r="N238" s="4">
        <v>115295.05</v>
      </c>
    </row>
    <row r="239" spans="1:14">
      <c r="A239" s="4" t="s">
        <v>81</v>
      </c>
      <c r="B239" s="7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 s="4">
        <v>3.4</v>
      </c>
      <c r="M239" s="4">
        <v>810355.02</v>
      </c>
      <c r="N239" s="4">
        <v>131510</v>
      </c>
    </row>
    <row r="240" spans="1:14">
      <c r="A240" s="4" t="s">
        <v>81</v>
      </c>
      <c r="B240" s="7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</v>
      </c>
      <c r="H240" s="4">
        <v>23</v>
      </c>
      <c r="I240" s="4">
        <v>80.9</v>
      </c>
      <c r="J240" s="4">
        <v>6.96</v>
      </c>
      <c r="K240" s="4">
        <v>0</v>
      </c>
      <c r="L240" s="4">
        <v>3.2</v>
      </c>
      <c r="M240" s="4">
        <v>761919.25</v>
      </c>
      <c r="N240" s="4">
        <v>111893.06</v>
      </c>
    </row>
    <row r="241" spans="1:14">
      <c r="A241" s="4" t="s">
        <v>81</v>
      </c>
      <c r="B241" s="7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 s="4">
        <v>3.3</v>
      </c>
      <c r="M241" s="4">
        <v>737070.18</v>
      </c>
      <c r="N241" s="4">
        <v>117593.97</v>
      </c>
    </row>
    <row r="242" spans="1:14">
      <c r="A242" s="4" t="s">
        <v>82</v>
      </c>
      <c r="B242" s="7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</v>
      </c>
      <c r="H242" s="4">
        <v>22</v>
      </c>
      <c r="I242" s="4">
        <v>85.6</v>
      </c>
      <c r="J242" s="4">
        <v>10.68</v>
      </c>
      <c r="K242" s="4">
        <v>1</v>
      </c>
      <c r="L242" s="4">
        <v>2.9</v>
      </c>
      <c r="M242" s="4">
        <v>776992.93</v>
      </c>
      <c r="N242" s="4">
        <v>101598.32</v>
      </c>
    </row>
    <row r="243" spans="1:14">
      <c r="A243" s="4" t="s">
        <v>82</v>
      </c>
      <c r="B243" s="7">
        <v>45689</v>
      </c>
      <c r="C243" s="4" t="s">
        <v>24</v>
      </c>
      <c r="D243" s="4" t="s">
        <v>21</v>
      </c>
      <c r="E243" s="4">
        <v>51781.6</v>
      </c>
      <c r="F243" s="4">
        <v>5648</v>
      </c>
      <c r="G243" s="4">
        <v>0.059</v>
      </c>
      <c r="H243" s="4">
        <v>13</v>
      </c>
      <c r="I243" s="4">
        <v>85.5</v>
      </c>
      <c r="J243" s="4">
        <v>4.04</v>
      </c>
      <c r="K243" s="4">
        <v>0</v>
      </c>
      <c r="L243" s="4">
        <v>3.7</v>
      </c>
      <c r="M243" s="4">
        <v>676337.41</v>
      </c>
      <c r="N243" s="4">
        <v>104355.77</v>
      </c>
    </row>
    <row r="244" spans="1:14">
      <c r="A244" s="4" t="s">
        <v>82</v>
      </c>
      <c r="B244" s="7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 s="4">
        <v>3.5</v>
      </c>
      <c r="M244" s="4">
        <v>828219.67</v>
      </c>
      <c r="N244" s="4">
        <v>179806.87</v>
      </c>
    </row>
    <row r="245" spans="1:14">
      <c r="A245" s="4" t="s">
        <v>82</v>
      </c>
      <c r="B245" s="7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 s="4">
        <v>3</v>
      </c>
      <c r="M245" s="4">
        <v>763159.92</v>
      </c>
      <c r="N245" s="4">
        <v>177104.87</v>
      </c>
    </row>
    <row r="246" spans="1:14">
      <c r="A246" s="4" t="s">
        <v>83</v>
      </c>
      <c r="B246" s="7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0.084</v>
      </c>
      <c r="H246" s="4">
        <v>20</v>
      </c>
      <c r="I246" s="4">
        <v>91</v>
      </c>
      <c r="J246" s="4">
        <v>0.95</v>
      </c>
      <c r="K246" s="4">
        <v>0</v>
      </c>
      <c r="L246" s="4">
        <v>3.2</v>
      </c>
      <c r="M246" s="4">
        <v>802001.68</v>
      </c>
      <c r="N246" s="4">
        <v>159715.82</v>
      </c>
    </row>
    <row r="247" spans="1:14">
      <c r="A247" s="4" t="s">
        <v>83</v>
      </c>
      <c r="B247" s="7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 s="4">
        <v>3.4</v>
      </c>
      <c r="M247" s="4">
        <v>750471.34</v>
      </c>
      <c r="N247" s="4">
        <v>133788.04</v>
      </c>
    </row>
    <row r="248" spans="1:14">
      <c r="A248" s="4" t="s">
        <v>83</v>
      </c>
      <c r="B248" s="7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 s="4">
        <v>3.1</v>
      </c>
      <c r="M248" s="4">
        <v>679230.86</v>
      </c>
      <c r="N248" s="4">
        <v>106927.58</v>
      </c>
    </row>
    <row r="249" spans="1:14">
      <c r="A249" s="4" t="s">
        <v>83</v>
      </c>
      <c r="B249" s="7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</v>
      </c>
      <c r="H249" s="4">
        <v>20</v>
      </c>
      <c r="I249" s="4">
        <v>90.4</v>
      </c>
      <c r="J249" s="4">
        <v>1.7</v>
      </c>
      <c r="K249" s="4">
        <v>0</v>
      </c>
      <c r="L249" s="4">
        <v>3.3</v>
      </c>
      <c r="M249" s="4">
        <v>679888.74</v>
      </c>
      <c r="N249" s="4">
        <v>83406.89</v>
      </c>
    </row>
    <row r="250" spans="1:14">
      <c r="A250" s="4" t="s">
        <v>84</v>
      </c>
      <c r="B250" s="7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v>0</v>
      </c>
      <c r="L250" s="4">
        <v>3.8</v>
      </c>
      <c r="M250" s="4">
        <v>606783.67</v>
      </c>
      <c r="N250" s="4">
        <v>74515.87</v>
      </c>
    </row>
    <row r="251" spans="1:14">
      <c r="A251" s="4" t="s">
        <v>84</v>
      </c>
      <c r="B251" s="7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0.026</v>
      </c>
      <c r="H251" s="4">
        <v>17</v>
      </c>
      <c r="I251" s="4">
        <v>81.8</v>
      </c>
      <c r="J251" s="4">
        <v>5.1</v>
      </c>
      <c r="K251" s="4">
        <v>0</v>
      </c>
      <c r="L251" s="4">
        <v>3.6</v>
      </c>
      <c r="M251" s="4">
        <v>642751.42</v>
      </c>
      <c r="N251" s="4">
        <v>131942.15</v>
      </c>
    </row>
    <row r="252" spans="1:14">
      <c r="A252" s="4" t="s">
        <v>84</v>
      </c>
      <c r="B252" s="7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</v>
      </c>
      <c r="H252" s="4">
        <v>15</v>
      </c>
      <c r="I252" s="4">
        <v>88.4</v>
      </c>
      <c r="J252" s="4">
        <v>0.83</v>
      </c>
      <c r="K252" s="4">
        <v>0</v>
      </c>
      <c r="L252" s="4">
        <v>4</v>
      </c>
      <c r="M252" s="4">
        <v>647953.78</v>
      </c>
      <c r="N252" s="4">
        <v>118497.43</v>
      </c>
    </row>
    <row r="253" spans="1:14">
      <c r="A253" s="4" t="s">
        <v>84</v>
      </c>
      <c r="B253" s="7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0.087</v>
      </c>
      <c r="H253" s="4">
        <v>14</v>
      </c>
      <c r="I253" s="4">
        <v>79.2</v>
      </c>
      <c r="J253" s="4">
        <v>1.14</v>
      </c>
      <c r="K253" s="4">
        <v>0</v>
      </c>
      <c r="L253" s="4">
        <v>4</v>
      </c>
      <c r="M253" s="4">
        <v>729440.45</v>
      </c>
      <c r="N253" s="4">
        <v>87614.29</v>
      </c>
    </row>
    <row r="254" spans="1:14">
      <c r="A254" s="4" t="s">
        <v>85</v>
      </c>
      <c r="B254" s="7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9.54</v>
      </c>
      <c r="K254" s="4">
        <v>0</v>
      </c>
      <c r="L254" s="4">
        <v>3.7</v>
      </c>
      <c r="M254" s="4">
        <v>764949</v>
      </c>
      <c r="N254" s="4">
        <v>148322.43</v>
      </c>
    </row>
    <row r="255" spans="1:14">
      <c r="A255" s="4" t="s">
        <v>85</v>
      </c>
      <c r="B255" s="7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0.074</v>
      </c>
      <c r="H255" s="4">
        <v>17</v>
      </c>
      <c r="I255" s="4">
        <v>89.5</v>
      </c>
      <c r="J255" s="4">
        <v>5.48</v>
      </c>
      <c r="K255" s="4">
        <v>0</v>
      </c>
      <c r="L255" s="4">
        <v>3.2</v>
      </c>
      <c r="M255" s="4">
        <v>799046.94</v>
      </c>
      <c r="N255" s="4">
        <v>144553.64</v>
      </c>
    </row>
    <row r="256" spans="1:14">
      <c r="A256" s="4" t="s">
        <v>85</v>
      </c>
      <c r="B256" s="7">
        <v>45717</v>
      </c>
      <c r="C256" s="4" t="s">
        <v>24</v>
      </c>
      <c r="D256" s="4" t="s">
        <v>21</v>
      </c>
      <c r="E256" s="4">
        <v>75412.74</v>
      </c>
      <c r="F256" s="4">
        <v>5641</v>
      </c>
      <c r="G256" s="4">
        <v>0.059</v>
      </c>
      <c r="H256" s="4">
        <v>13</v>
      </c>
      <c r="I256" s="4">
        <v>87.9</v>
      </c>
      <c r="J256" s="4">
        <v>0.84</v>
      </c>
      <c r="K256" s="4">
        <v>0</v>
      </c>
      <c r="L256" s="4">
        <v>3.6</v>
      </c>
      <c r="M256" s="4">
        <v>720079.54</v>
      </c>
      <c r="N256" s="4">
        <v>119499.47</v>
      </c>
    </row>
    <row r="257" spans="1:14">
      <c r="A257" s="4" t="s">
        <v>85</v>
      </c>
      <c r="B257" s="7">
        <v>45748</v>
      </c>
      <c r="C257" s="4" t="s">
        <v>24</v>
      </c>
      <c r="D257" s="4" t="s">
        <v>21</v>
      </c>
      <c r="E257" s="4">
        <v>36290.08</v>
      </c>
      <c r="F257" s="4">
        <v>5787</v>
      </c>
      <c r="G257" s="4">
        <v>0</v>
      </c>
      <c r="H257" s="4">
        <v>17</v>
      </c>
      <c r="I257" s="4">
        <v>88.3</v>
      </c>
      <c r="J257" s="4">
        <v>4.19</v>
      </c>
      <c r="K257" s="4">
        <v>0</v>
      </c>
      <c r="L257" s="4">
        <v>4.1</v>
      </c>
      <c r="M257" s="4">
        <v>612390.14</v>
      </c>
      <c r="N257" s="4">
        <v>108985.74</v>
      </c>
    </row>
    <row r="258" spans="1:14">
      <c r="A258" s="4" t="s">
        <v>86</v>
      </c>
      <c r="B258" s="7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0.051</v>
      </c>
      <c r="H258" s="4">
        <v>19</v>
      </c>
      <c r="I258" s="4">
        <v>87.8</v>
      </c>
      <c r="J258" s="4">
        <v>1.26</v>
      </c>
      <c r="K258" s="4">
        <v>1</v>
      </c>
      <c r="L258" s="4">
        <v>4.3</v>
      </c>
      <c r="M258" s="4">
        <v>840108.12</v>
      </c>
      <c r="N258" s="4">
        <v>126587.01</v>
      </c>
    </row>
    <row r="259" spans="1:14">
      <c r="A259" s="4" t="s">
        <v>86</v>
      </c>
      <c r="B259" s="7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 s="4">
        <v>4.6</v>
      </c>
      <c r="M259" s="4">
        <v>697888.09</v>
      </c>
      <c r="N259" s="4">
        <v>116249.87</v>
      </c>
    </row>
    <row r="260" spans="1:14">
      <c r="A260" s="4" t="s">
        <v>86</v>
      </c>
      <c r="B260" s="7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0.143</v>
      </c>
      <c r="H260" s="4">
        <v>19</v>
      </c>
      <c r="I260" s="4">
        <v>87.5</v>
      </c>
      <c r="J260" s="4">
        <v>3.69</v>
      </c>
      <c r="K260" s="4">
        <v>0</v>
      </c>
      <c r="L260" s="4">
        <v>4.4</v>
      </c>
      <c r="M260" s="4">
        <v>746115.59</v>
      </c>
      <c r="N260" s="4">
        <v>94662.96</v>
      </c>
    </row>
    <row r="261" spans="1:14">
      <c r="A261" s="4" t="s">
        <v>86</v>
      </c>
      <c r="B261" s="7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0.007</v>
      </c>
      <c r="H261" s="4">
        <v>21</v>
      </c>
      <c r="I261" s="4">
        <v>92.2</v>
      </c>
      <c r="J261" s="4">
        <v>1.82</v>
      </c>
      <c r="K261" s="4">
        <v>0</v>
      </c>
      <c r="L261" s="4">
        <v>3.6</v>
      </c>
      <c r="M261" s="4">
        <v>776110.32</v>
      </c>
      <c r="N261" s="4">
        <v>139676.21</v>
      </c>
    </row>
    <row r="262" spans="1:14">
      <c r="A262" s="4" t="s">
        <v>87</v>
      </c>
      <c r="B262" s="7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</v>
      </c>
      <c r="H262" s="4">
        <v>10</v>
      </c>
      <c r="I262" s="4">
        <v>90.3</v>
      </c>
      <c r="J262" s="4">
        <v>6.62</v>
      </c>
      <c r="K262" s="4">
        <v>0</v>
      </c>
      <c r="L262" s="4">
        <v>4.2</v>
      </c>
      <c r="M262" s="4">
        <v>528852.62</v>
      </c>
      <c r="N262" s="4">
        <v>68426.21</v>
      </c>
    </row>
    <row r="263" spans="1:14">
      <c r="A263" s="4" t="s">
        <v>87</v>
      </c>
      <c r="B263" s="7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</v>
      </c>
      <c r="H263" s="4">
        <v>13</v>
      </c>
      <c r="I263" s="4">
        <v>87.3</v>
      </c>
      <c r="J263" s="4"/>
      <c r="K263" s="4">
        <v>0</v>
      </c>
      <c r="L263" s="4">
        <v>4.2</v>
      </c>
      <c r="M263" s="4">
        <v>605751.33</v>
      </c>
      <c r="N263" s="4">
        <v>60685.53</v>
      </c>
    </row>
    <row r="264" spans="1:14">
      <c r="A264" s="4" t="s">
        <v>87</v>
      </c>
      <c r="B264" s="7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0.086</v>
      </c>
      <c r="H264" s="4">
        <v>11</v>
      </c>
      <c r="I264" s="4">
        <v>83.7</v>
      </c>
      <c r="J264" s="4">
        <v>6.92</v>
      </c>
      <c r="K264" s="4">
        <v>1</v>
      </c>
      <c r="L264" s="4">
        <v>4.2</v>
      </c>
      <c r="M264" s="4">
        <v>677640.65</v>
      </c>
      <c r="N264" s="4">
        <v>111610.89</v>
      </c>
    </row>
    <row r="265" spans="1:14">
      <c r="A265" s="4" t="s">
        <v>87</v>
      </c>
      <c r="B265" s="7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 s="4">
        <v>3.7</v>
      </c>
      <c r="M265" s="4">
        <v>636613.23</v>
      </c>
      <c r="N265" s="4">
        <v>78908.35</v>
      </c>
    </row>
    <row r="266" spans="1:14">
      <c r="A266" s="4" t="s">
        <v>88</v>
      </c>
      <c r="B266" s="7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0.094</v>
      </c>
      <c r="H266" s="4">
        <v>15</v>
      </c>
      <c r="I266" s="4">
        <v>95.8</v>
      </c>
      <c r="J266" s="4">
        <v>0.5</v>
      </c>
      <c r="K266" s="4">
        <v>0</v>
      </c>
      <c r="L266" s="4">
        <v>3.5</v>
      </c>
      <c r="M266" s="4">
        <v>708985.19</v>
      </c>
      <c r="N266" s="4">
        <v>125368.16</v>
      </c>
    </row>
    <row r="267" spans="1:14">
      <c r="A267" s="4" t="s">
        <v>88</v>
      </c>
      <c r="B267" s="7">
        <v>45689</v>
      </c>
      <c r="C267" s="4" t="s">
        <v>15</v>
      </c>
      <c r="D267" s="4" t="s">
        <v>18</v>
      </c>
      <c r="E267" s="4">
        <v>73454.54</v>
      </c>
      <c r="F267" s="4">
        <v>8129</v>
      </c>
      <c r="G267" s="4">
        <v>0.211</v>
      </c>
      <c r="H267" s="4">
        <v>20</v>
      </c>
      <c r="I267" s="4">
        <v>85.2</v>
      </c>
      <c r="J267" s="4">
        <v>0.88</v>
      </c>
      <c r="K267" s="4">
        <v>0</v>
      </c>
      <c r="L267" s="4">
        <v>3.7</v>
      </c>
      <c r="M267" s="4">
        <v>767792.94</v>
      </c>
      <c r="N267" s="4">
        <v>96235.77</v>
      </c>
    </row>
    <row r="268" spans="1:14">
      <c r="A268" s="4" t="s">
        <v>88</v>
      </c>
      <c r="B268" s="7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 s="4">
        <v>3.7</v>
      </c>
      <c r="M268" s="4">
        <v>745580.51</v>
      </c>
      <c r="N268" s="4">
        <v>116273.68</v>
      </c>
    </row>
    <row r="269" spans="1:14">
      <c r="A269" s="4" t="s">
        <v>88</v>
      </c>
      <c r="B269" s="7">
        <v>45748</v>
      </c>
      <c r="C269" s="4" t="s">
        <v>15</v>
      </c>
      <c r="D269" s="4" t="s">
        <v>18</v>
      </c>
      <c r="E269" s="4">
        <v>67722.29</v>
      </c>
      <c r="F269" s="4">
        <v>7240</v>
      </c>
      <c r="G269" s="4">
        <v>0.026</v>
      </c>
      <c r="H269" s="4">
        <v>15</v>
      </c>
      <c r="I269" s="4">
        <v>92.9</v>
      </c>
      <c r="J269" s="4">
        <v>0.29</v>
      </c>
      <c r="K269" s="4">
        <v>0</v>
      </c>
      <c r="L269" s="4">
        <v>3.5</v>
      </c>
      <c r="M269" s="4">
        <v>762328.31</v>
      </c>
      <c r="N269" s="4">
        <v>159158.19</v>
      </c>
    </row>
    <row r="270" spans="1:14">
      <c r="A270" s="4" t="s">
        <v>89</v>
      </c>
      <c r="B270" s="7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 s="4">
        <v>3.6</v>
      </c>
      <c r="M270" s="4">
        <v>660633.99</v>
      </c>
      <c r="N270" s="4">
        <v>118768.66</v>
      </c>
    </row>
    <row r="271" spans="1:14">
      <c r="A271" s="4" t="s">
        <v>89</v>
      </c>
      <c r="B271" s="7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</v>
      </c>
      <c r="H271" s="4">
        <v>20</v>
      </c>
      <c r="I271" s="4">
        <v>89</v>
      </c>
      <c r="J271" s="4">
        <v>0.2</v>
      </c>
      <c r="K271" s="4">
        <v>0</v>
      </c>
      <c r="L271" s="4">
        <v>3.5</v>
      </c>
      <c r="M271" s="4">
        <v>739374.56</v>
      </c>
      <c r="N271" s="4">
        <v>121032.29</v>
      </c>
    </row>
    <row r="272" spans="1:14">
      <c r="A272" s="4" t="s">
        <v>89</v>
      </c>
      <c r="B272" s="7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</v>
      </c>
      <c r="H272" s="4">
        <v>21</v>
      </c>
      <c r="I272" s="4">
        <v>87.6</v>
      </c>
      <c r="J272" s="4">
        <v>3.63</v>
      </c>
      <c r="K272" s="4">
        <v>1</v>
      </c>
      <c r="L272" s="4">
        <v>3.8</v>
      </c>
      <c r="M272" s="4">
        <v>799756.46</v>
      </c>
      <c r="N272" s="4">
        <v>105052.93</v>
      </c>
    </row>
    <row r="273" spans="1:14">
      <c r="A273" s="4" t="s">
        <v>89</v>
      </c>
      <c r="B273" s="7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 s="4">
        <v>3.2</v>
      </c>
      <c r="M273" s="4">
        <v>593343</v>
      </c>
      <c r="N273" s="4">
        <v>82832.24</v>
      </c>
    </row>
    <row r="274" spans="1:14">
      <c r="A274" s="4" t="s">
        <v>90</v>
      </c>
      <c r="B274" s="7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0.052</v>
      </c>
      <c r="H274" s="4">
        <v>17</v>
      </c>
      <c r="I274" s="4">
        <v>85.6</v>
      </c>
      <c r="J274" s="4">
        <v>6.23</v>
      </c>
      <c r="K274" s="4">
        <v>0</v>
      </c>
      <c r="L274" s="4">
        <v>3.3</v>
      </c>
      <c r="M274" s="4">
        <v>645039.97</v>
      </c>
      <c r="N274" s="4">
        <v>83093.33</v>
      </c>
    </row>
    <row r="275" spans="1:14">
      <c r="A275" s="4" t="s">
        <v>90</v>
      </c>
      <c r="B275" s="7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 s="4">
        <v>3.1</v>
      </c>
      <c r="M275" s="4">
        <v>561597.33</v>
      </c>
      <c r="N275" s="4">
        <v>75072.75</v>
      </c>
    </row>
    <row r="276" spans="1:14">
      <c r="A276" s="4" t="s">
        <v>90</v>
      </c>
      <c r="B276" s="7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0.141</v>
      </c>
      <c r="H276" s="4">
        <v>17</v>
      </c>
      <c r="I276" s="4">
        <v>89.8</v>
      </c>
      <c r="J276" s="4">
        <v>1.76</v>
      </c>
      <c r="K276" s="4">
        <v>0</v>
      </c>
      <c r="L276" s="4">
        <v>3.1</v>
      </c>
      <c r="M276" s="4">
        <v>635837.74</v>
      </c>
      <c r="N276" s="4">
        <v>114740.64</v>
      </c>
    </row>
    <row r="277" spans="1:14">
      <c r="A277" s="4" t="s">
        <v>90</v>
      </c>
      <c r="B277" s="7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77.6</v>
      </c>
      <c r="J277" s="4">
        <v>2.86</v>
      </c>
      <c r="K277" s="4">
        <v>0</v>
      </c>
      <c r="L277" s="4">
        <v>3</v>
      </c>
      <c r="M277" s="4">
        <v>686737.87</v>
      </c>
      <c r="N277" s="4">
        <v>83839.67</v>
      </c>
    </row>
    <row r="278" spans="1:14">
      <c r="A278" s="4" t="s">
        <v>91</v>
      </c>
      <c r="B278" s="7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 s="4">
        <v>3.4</v>
      </c>
      <c r="M278" s="4">
        <v>673076.34</v>
      </c>
      <c r="N278" s="4">
        <v>93899.76</v>
      </c>
    </row>
    <row r="279" spans="1:14">
      <c r="A279" s="4" t="s">
        <v>91</v>
      </c>
      <c r="B279" s="7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 s="4">
        <v>4</v>
      </c>
      <c r="M279" s="4">
        <v>738548.42</v>
      </c>
      <c r="N279" s="4">
        <v>134282.77</v>
      </c>
    </row>
    <row r="280" spans="1:14">
      <c r="A280" s="4" t="s">
        <v>91</v>
      </c>
      <c r="B280" s="7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0.213</v>
      </c>
      <c r="H280" s="4">
        <v>18</v>
      </c>
      <c r="I280" s="4">
        <v>86.5</v>
      </c>
      <c r="J280" s="4">
        <v>1.44</v>
      </c>
      <c r="K280" s="4">
        <v>0</v>
      </c>
      <c r="L280" s="4">
        <v>3.9</v>
      </c>
      <c r="M280" s="4">
        <v>756619.77</v>
      </c>
      <c r="N280" s="4">
        <v>112057.69</v>
      </c>
    </row>
    <row r="281" spans="1:14">
      <c r="A281" s="4" t="s">
        <v>91</v>
      </c>
      <c r="B281" s="7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0.004</v>
      </c>
      <c r="H281" s="4">
        <v>23</v>
      </c>
      <c r="I281" s="4">
        <v>87</v>
      </c>
      <c r="J281" s="4">
        <v>3.65</v>
      </c>
      <c r="K281" s="4">
        <v>0</v>
      </c>
      <c r="L281" s="4">
        <v>3.7</v>
      </c>
      <c r="M281" s="4">
        <v>761122.42</v>
      </c>
      <c r="N281" s="4">
        <v>149802.04</v>
      </c>
    </row>
    <row r="282" spans="1:14">
      <c r="A282" s="4" t="s">
        <v>92</v>
      </c>
      <c r="B282" s="7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0.069</v>
      </c>
      <c r="H282" s="4">
        <v>10</v>
      </c>
      <c r="I282" s="4">
        <v>83</v>
      </c>
      <c r="J282" s="4">
        <v>1.23</v>
      </c>
      <c r="K282" s="4">
        <v>1</v>
      </c>
      <c r="L282" s="4">
        <v>3.8</v>
      </c>
      <c r="M282" s="4">
        <v>524899.57</v>
      </c>
      <c r="N282" s="4">
        <v>63619.98</v>
      </c>
    </row>
    <row r="283" spans="1:14">
      <c r="A283" s="4" t="s">
        <v>92</v>
      </c>
      <c r="B283" s="7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0.051</v>
      </c>
      <c r="H283" s="4">
        <v>15</v>
      </c>
      <c r="I283" s="4">
        <v>87.9</v>
      </c>
      <c r="J283" s="4">
        <v>3.09</v>
      </c>
      <c r="K283" s="4">
        <v>0</v>
      </c>
      <c r="L283" s="4">
        <v>4</v>
      </c>
      <c r="M283" s="4">
        <v>555557.77</v>
      </c>
      <c r="N283" s="4">
        <v>86475.51</v>
      </c>
    </row>
    <row r="284" spans="1:14">
      <c r="A284" s="4" t="s">
        <v>92</v>
      </c>
      <c r="B284" s="7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0.07</v>
      </c>
      <c r="H284" s="4">
        <v>17</v>
      </c>
      <c r="I284" s="4">
        <v>95.8</v>
      </c>
      <c r="J284" s="4">
        <v>3.15</v>
      </c>
      <c r="K284" s="4">
        <v>0</v>
      </c>
      <c r="L284" s="4">
        <v>4</v>
      </c>
      <c r="M284" s="4">
        <v>714083.68</v>
      </c>
      <c r="N284" s="4">
        <v>127231.74</v>
      </c>
    </row>
    <row r="285" spans="1:14">
      <c r="A285" s="4" t="s">
        <v>92</v>
      </c>
      <c r="B285" s="7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</v>
      </c>
      <c r="J285" s="4">
        <v>6.44</v>
      </c>
      <c r="K285" s="4">
        <v>0</v>
      </c>
      <c r="L285" s="4">
        <v>4.2</v>
      </c>
      <c r="M285" s="4">
        <v>497439.82</v>
      </c>
      <c r="N285" s="4">
        <v>93372.75</v>
      </c>
    </row>
    <row r="286" spans="1:14">
      <c r="A286" s="4" t="s">
        <v>93</v>
      </c>
      <c r="B286" s="7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0.009</v>
      </c>
      <c r="H286" s="4">
        <v>13</v>
      </c>
      <c r="I286" s="4">
        <v>86.3</v>
      </c>
      <c r="J286" s="4">
        <v>0.2</v>
      </c>
      <c r="K286" s="4">
        <v>1</v>
      </c>
      <c r="L286" s="4">
        <v>4.5</v>
      </c>
      <c r="M286" s="4">
        <v>636775.66</v>
      </c>
      <c r="N286" s="4">
        <v>122636.86</v>
      </c>
    </row>
    <row r="287" spans="1:14">
      <c r="A287" s="4" t="s">
        <v>93</v>
      </c>
      <c r="B287" s="7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</v>
      </c>
      <c r="H287" s="4">
        <v>10</v>
      </c>
      <c r="I287" s="4">
        <v>90.4</v>
      </c>
      <c r="J287" s="4">
        <v>0.59</v>
      </c>
      <c r="K287" s="4">
        <v>0</v>
      </c>
      <c r="L287" s="4">
        <v>4.5</v>
      </c>
      <c r="M287" s="4">
        <v>633009.53</v>
      </c>
      <c r="N287" s="4">
        <v>123782.67</v>
      </c>
    </row>
    <row r="288" spans="1:14">
      <c r="A288" s="4" t="s">
        <v>93</v>
      </c>
      <c r="B288" s="7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 s="4">
        <v>4.2</v>
      </c>
      <c r="M288" s="4">
        <v>609949</v>
      </c>
      <c r="N288" s="4">
        <v>126789.25</v>
      </c>
    </row>
    <row r="289" spans="1:14">
      <c r="A289" s="4" t="s">
        <v>93</v>
      </c>
      <c r="B289" s="7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0.174</v>
      </c>
      <c r="H289" s="4">
        <v>13</v>
      </c>
      <c r="I289" s="4">
        <v>82.4</v>
      </c>
      <c r="J289" s="4">
        <v>1.36</v>
      </c>
      <c r="K289" s="4">
        <v>0</v>
      </c>
      <c r="L289" s="4">
        <v>4.8</v>
      </c>
      <c r="M289" s="4">
        <v>548103.7</v>
      </c>
      <c r="N289" s="4">
        <v>99905.52</v>
      </c>
    </row>
    <row r="290" spans="1:14">
      <c r="A290" s="4" t="s">
        <v>94</v>
      </c>
      <c r="B290" s="7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</v>
      </c>
      <c r="H290" s="4">
        <v>23</v>
      </c>
      <c r="I290" s="4">
        <v>72.9</v>
      </c>
      <c r="J290" s="4">
        <v>3.34</v>
      </c>
      <c r="K290" s="4">
        <v>0</v>
      </c>
      <c r="L290" s="4">
        <v>3.7</v>
      </c>
      <c r="M290" s="4">
        <v>729424.42</v>
      </c>
      <c r="N290" s="4">
        <v>75592.28</v>
      </c>
    </row>
    <row r="291" spans="1:14">
      <c r="A291" s="4" t="s">
        <v>94</v>
      </c>
      <c r="B291" s="7">
        <v>45689</v>
      </c>
      <c r="C291" s="4" t="s">
        <v>15</v>
      </c>
      <c r="D291" s="4" t="s">
        <v>16</v>
      </c>
      <c r="E291" s="4">
        <v>68909.26</v>
      </c>
      <c r="F291" s="4">
        <v>7794</v>
      </c>
      <c r="G291" s="4">
        <v>0.284</v>
      </c>
      <c r="H291" s="4">
        <v>22</v>
      </c>
      <c r="I291" s="4">
        <v>89</v>
      </c>
      <c r="J291" s="4">
        <v>0.33</v>
      </c>
      <c r="K291" s="4">
        <v>0</v>
      </c>
      <c r="L291" s="4">
        <v>4</v>
      </c>
      <c r="M291" s="4">
        <v>696261.49</v>
      </c>
      <c r="N291" s="4">
        <v>72455.35</v>
      </c>
    </row>
    <row r="292" spans="1:14">
      <c r="A292" s="4" t="s">
        <v>94</v>
      </c>
      <c r="B292" s="7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0.032</v>
      </c>
      <c r="H292" s="4">
        <v>21</v>
      </c>
      <c r="I292" s="4">
        <v>83.2</v>
      </c>
      <c r="J292" s="4">
        <v>3.44</v>
      </c>
      <c r="K292" s="4">
        <v>1</v>
      </c>
      <c r="L292" s="4">
        <v>4.3</v>
      </c>
      <c r="M292" s="4">
        <v>813316.71</v>
      </c>
      <c r="N292" s="4">
        <v>110077.42</v>
      </c>
    </row>
    <row r="293" spans="1:14">
      <c r="A293" s="4" t="s">
        <v>94</v>
      </c>
      <c r="B293" s="7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 s="4">
        <v>4.1</v>
      </c>
      <c r="M293" s="4">
        <v>702068.92</v>
      </c>
      <c r="N293" s="4">
        <v>111266.63</v>
      </c>
    </row>
    <row r="294" spans="1:14">
      <c r="A294" s="4" t="s">
        <v>95</v>
      </c>
      <c r="B294" s="7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0.096</v>
      </c>
      <c r="H294" s="4">
        <v>8</v>
      </c>
      <c r="I294" s="4">
        <v>86.7</v>
      </c>
      <c r="J294" s="4">
        <v>6.04</v>
      </c>
      <c r="K294" s="4">
        <v>0</v>
      </c>
      <c r="L294" s="4">
        <v>4.5</v>
      </c>
      <c r="M294" s="4">
        <v>546223.7</v>
      </c>
      <c r="N294" s="4">
        <v>100769.17</v>
      </c>
    </row>
    <row r="295" spans="1:14">
      <c r="A295" s="4" t="s">
        <v>95</v>
      </c>
      <c r="B295" s="7">
        <v>45689</v>
      </c>
      <c r="C295" s="4" t="s">
        <v>27</v>
      </c>
      <c r="D295" s="4" t="s">
        <v>18</v>
      </c>
      <c r="E295" s="4">
        <v>40102.88</v>
      </c>
      <c r="F295" s="4">
        <v>2358</v>
      </c>
      <c r="G295" s="4">
        <v>0.119</v>
      </c>
      <c r="H295" s="4">
        <v>9</v>
      </c>
      <c r="I295" s="4">
        <v>88.7</v>
      </c>
      <c r="J295" s="4">
        <v>1.6</v>
      </c>
      <c r="K295" s="4">
        <v>0</v>
      </c>
      <c r="L295" s="4">
        <v>4.2</v>
      </c>
      <c r="M295" s="4">
        <v>533121.26</v>
      </c>
      <c r="N295" s="4">
        <v>55063.39</v>
      </c>
    </row>
    <row r="296" spans="1:14">
      <c r="A296" s="4" t="s">
        <v>95</v>
      </c>
      <c r="B296" s="7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</v>
      </c>
      <c r="K296" s="4">
        <v>0</v>
      </c>
      <c r="L296" s="4">
        <v>4.7</v>
      </c>
      <c r="M296" s="4">
        <v>498970.32</v>
      </c>
      <c r="N296" s="4">
        <v>69656.7</v>
      </c>
    </row>
    <row r="297" spans="1:14">
      <c r="A297" s="4" t="s">
        <v>95</v>
      </c>
      <c r="B297" s="7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</v>
      </c>
      <c r="H297" s="4">
        <v>9</v>
      </c>
      <c r="I297" s="4">
        <v>81</v>
      </c>
      <c r="J297" s="4">
        <v>0.74</v>
      </c>
      <c r="K297" s="4">
        <v>0</v>
      </c>
      <c r="L297" s="4">
        <v>4.6</v>
      </c>
      <c r="M297" s="4">
        <v>487738.26</v>
      </c>
      <c r="N297" s="4">
        <v>96435.6</v>
      </c>
    </row>
    <row r="298" spans="1:14">
      <c r="A298" s="4" t="s">
        <v>96</v>
      </c>
      <c r="B298" s="7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0.036</v>
      </c>
      <c r="H298" s="4">
        <v>12</v>
      </c>
      <c r="I298" s="4">
        <v>93.1</v>
      </c>
      <c r="J298" s="4">
        <v>6.13</v>
      </c>
      <c r="K298" s="4">
        <v>0</v>
      </c>
      <c r="L298" s="4">
        <v>3.3</v>
      </c>
      <c r="M298" s="4">
        <v>668459.37</v>
      </c>
      <c r="N298" s="4">
        <v>126435.42</v>
      </c>
    </row>
    <row r="299" spans="1:14">
      <c r="A299" s="4" t="s">
        <v>96</v>
      </c>
      <c r="B299" s="7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0.102</v>
      </c>
      <c r="H299" s="4">
        <v>14</v>
      </c>
      <c r="I299" s="4">
        <v>96.2</v>
      </c>
      <c r="J299" s="4">
        <v>1.41</v>
      </c>
      <c r="K299" s="4">
        <v>0</v>
      </c>
      <c r="L299" s="4">
        <v>3.3</v>
      </c>
      <c r="M299" s="4">
        <v>763162.45</v>
      </c>
      <c r="N299" s="4">
        <v>162524.05</v>
      </c>
    </row>
    <row r="300" spans="1:14">
      <c r="A300" s="4" t="s">
        <v>96</v>
      </c>
      <c r="B300" s="7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 s="4">
        <v>3.1</v>
      </c>
      <c r="M300" s="4">
        <v>599017.33</v>
      </c>
      <c r="N300" s="4">
        <v>134009.92</v>
      </c>
    </row>
    <row r="301" spans="1:14">
      <c r="A301" s="4" t="s">
        <v>96</v>
      </c>
      <c r="B301" s="7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</v>
      </c>
      <c r="H301" s="4">
        <v>6</v>
      </c>
      <c r="I301" s="4">
        <v>89.3</v>
      </c>
      <c r="J301" s="4">
        <v>15.06</v>
      </c>
      <c r="K301" s="4">
        <v>0</v>
      </c>
      <c r="L301" s="4">
        <v>3.2</v>
      </c>
      <c r="M301" s="4">
        <v>401582.58</v>
      </c>
      <c r="N301" s="4">
        <v>68454.93</v>
      </c>
    </row>
    <row r="302" spans="1:14">
      <c r="A302" s="4" t="s">
        <v>97</v>
      </c>
      <c r="B302" s="7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0.141</v>
      </c>
      <c r="H302" s="4">
        <v>22</v>
      </c>
      <c r="I302" s="4">
        <v>88.2</v>
      </c>
      <c r="J302" s="4">
        <v>5.07</v>
      </c>
      <c r="K302" s="4">
        <v>1</v>
      </c>
      <c r="L302" s="4">
        <v>4.1</v>
      </c>
      <c r="M302" s="4">
        <v>703812.99</v>
      </c>
      <c r="N302" s="4">
        <v>133577.98</v>
      </c>
    </row>
    <row r="303" spans="1:14">
      <c r="A303" s="4" t="s">
        <v>97</v>
      </c>
      <c r="B303" s="7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0.074</v>
      </c>
      <c r="H303" s="4">
        <v>20</v>
      </c>
      <c r="I303" s="4">
        <v>83.3</v>
      </c>
      <c r="J303" s="4">
        <v>3.6</v>
      </c>
      <c r="K303" s="4">
        <v>0</v>
      </c>
      <c r="L303" s="4">
        <v>3.7</v>
      </c>
      <c r="M303" s="4">
        <v>724346.73</v>
      </c>
      <c r="N303" s="4">
        <v>155013.91</v>
      </c>
    </row>
    <row r="304" spans="1:14">
      <c r="A304" s="4" t="s">
        <v>97</v>
      </c>
      <c r="B304" s="7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</v>
      </c>
      <c r="H304" s="4">
        <v>19</v>
      </c>
      <c r="I304" s="4">
        <v>87.3</v>
      </c>
      <c r="J304" s="4">
        <v>4.39</v>
      </c>
      <c r="K304" s="4">
        <v>1</v>
      </c>
      <c r="L304" s="4">
        <v>4.7</v>
      </c>
      <c r="M304" s="4">
        <v>730890.01</v>
      </c>
      <c r="N304" s="4">
        <v>105502.56</v>
      </c>
    </row>
    <row r="305" spans="1:14">
      <c r="A305" s="4" t="s">
        <v>97</v>
      </c>
      <c r="B305" s="7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</v>
      </c>
      <c r="H305" s="4">
        <v>18</v>
      </c>
      <c r="I305" s="4">
        <v>93</v>
      </c>
      <c r="J305" s="4">
        <v>2.79</v>
      </c>
      <c r="K305" s="4">
        <v>0</v>
      </c>
      <c r="L305" s="4">
        <v>4.2</v>
      </c>
      <c r="M305" s="4">
        <v>780580.95</v>
      </c>
      <c r="N305" s="4">
        <v>138144.46</v>
      </c>
    </row>
    <row r="306" spans="1:14">
      <c r="A306" s="4" t="s">
        <v>98</v>
      </c>
      <c r="B306" s="7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 s="4">
        <v>4</v>
      </c>
      <c r="M306" s="4">
        <v>727957.48</v>
      </c>
      <c r="N306" s="4">
        <v>74805.23</v>
      </c>
    </row>
    <row r="307" spans="1:14">
      <c r="A307" s="4" t="s">
        <v>98</v>
      </c>
      <c r="B307" s="7">
        <v>45689</v>
      </c>
      <c r="C307" s="4" t="s">
        <v>24</v>
      </c>
      <c r="D307" s="4" t="s">
        <v>16</v>
      </c>
      <c r="E307" s="4">
        <v>46146.24</v>
      </c>
      <c r="F307" s="4">
        <v>5804</v>
      </c>
      <c r="G307" s="4">
        <v>0.047</v>
      </c>
      <c r="H307" s="4">
        <v>16</v>
      </c>
      <c r="I307" s="4">
        <v>86.9</v>
      </c>
      <c r="J307" s="4">
        <v>15.82</v>
      </c>
      <c r="K307" s="4">
        <v>0</v>
      </c>
      <c r="L307" s="4">
        <v>3.8</v>
      </c>
      <c r="M307" s="4">
        <v>538376</v>
      </c>
      <c r="N307" s="4">
        <v>87605.62</v>
      </c>
    </row>
    <row r="308" spans="1:14">
      <c r="A308" s="4" t="s">
        <v>98</v>
      </c>
      <c r="B308" s="7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0.146</v>
      </c>
      <c r="H308" s="4">
        <v>14</v>
      </c>
      <c r="I308" s="4">
        <v>85.9</v>
      </c>
      <c r="J308" s="4">
        <v>1.17</v>
      </c>
      <c r="K308" s="4">
        <v>1</v>
      </c>
      <c r="L308" s="4">
        <v>3.7</v>
      </c>
      <c r="M308" s="4">
        <v>665342.49</v>
      </c>
      <c r="N308" s="4">
        <v>93441.81</v>
      </c>
    </row>
    <row r="309" spans="1:14">
      <c r="A309" s="4" t="s">
        <v>98</v>
      </c>
      <c r="B309" s="7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0.075</v>
      </c>
      <c r="H309" s="4">
        <v>16</v>
      </c>
      <c r="I309" s="4">
        <v>99</v>
      </c>
      <c r="J309" s="4">
        <v>3.82</v>
      </c>
      <c r="K309" s="4">
        <v>0</v>
      </c>
      <c r="L309" s="4">
        <v>3.5</v>
      </c>
      <c r="M309" s="4">
        <v>651164.18</v>
      </c>
      <c r="N309" s="4">
        <v>109466.5</v>
      </c>
    </row>
    <row r="310" spans="1:14">
      <c r="A310" s="4" t="s">
        <v>99</v>
      </c>
      <c r="B310" s="7">
        <v>45658</v>
      </c>
      <c r="C310" s="4" t="s">
        <v>24</v>
      </c>
      <c r="D310" s="4" t="s">
        <v>18</v>
      </c>
      <c r="E310" s="4">
        <v>48465.6</v>
      </c>
      <c r="F310" s="4">
        <v>5759</v>
      </c>
      <c r="G310" s="4">
        <v>0.154</v>
      </c>
      <c r="H310" s="4">
        <v>13</v>
      </c>
      <c r="I310" s="4">
        <v>87.5</v>
      </c>
      <c r="J310" s="4">
        <v>4.14</v>
      </c>
      <c r="K310" s="4">
        <v>0</v>
      </c>
      <c r="L310" s="4">
        <v>4</v>
      </c>
      <c r="M310" s="4">
        <v>628538.3</v>
      </c>
      <c r="N310" s="4">
        <v>112509.15</v>
      </c>
    </row>
    <row r="311" spans="1:14">
      <c r="A311" s="4" t="s">
        <v>99</v>
      </c>
      <c r="B311" s="7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</v>
      </c>
      <c r="H311" s="4">
        <v>14</v>
      </c>
      <c r="I311" s="4">
        <v>79.7</v>
      </c>
      <c r="J311" s="4">
        <v>1.1</v>
      </c>
      <c r="K311" s="4">
        <v>0</v>
      </c>
      <c r="L311" s="4">
        <v>4.3</v>
      </c>
      <c r="M311" s="4">
        <v>536524.84</v>
      </c>
      <c r="N311" s="4">
        <v>92752.94</v>
      </c>
    </row>
    <row r="312" spans="1:14">
      <c r="A312" s="4" t="s">
        <v>99</v>
      </c>
      <c r="B312" s="7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 s="4">
        <v>4.2</v>
      </c>
      <c r="M312" s="4">
        <v>621677.3</v>
      </c>
      <c r="N312" s="4">
        <v>105192.52</v>
      </c>
    </row>
    <row r="313" spans="1:14">
      <c r="A313" s="4" t="s">
        <v>99</v>
      </c>
      <c r="B313" s="7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0.142</v>
      </c>
      <c r="H313" s="4">
        <v>20</v>
      </c>
      <c r="I313" s="4">
        <v>89</v>
      </c>
      <c r="J313" s="4">
        <v>0.9</v>
      </c>
      <c r="K313" s="4">
        <v>0</v>
      </c>
      <c r="L313" s="4"/>
      <c r="M313" s="4">
        <v>771129.07</v>
      </c>
      <c r="N313" s="4">
        <v>116851.13</v>
      </c>
    </row>
    <row r="314" spans="1:14">
      <c r="A314" s="4" t="s">
        <v>100</v>
      </c>
      <c r="B314" s="7">
        <v>45658</v>
      </c>
      <c r="C314" s="4" t="s">
        <v>20</v>
      </c>
      <c r="D314" s="4" t="s">
        <v>16</v>
      </c>
      <c r="E314" s="4">
        <v>78967.52</v>
      </c>
      <c r="F314" s="4">
        <v>6164</v>
      </c>
      <c r="G314" s="4">
        <v>0.021</v>
      </c>
      <c r="H314" s="4">
        <v>16</v>
      </c>
      <c r="I314" s="4">
        <v>85.5</v>
      </c>
      <c r="J314" s="4">
        <v>0.2</v>
      </c>
      <c r="K314" s="4">
        <v>0</v>
      </c>
      <c r="L314" s="4">
        <v>3.4</v>
      </c>
      <c r="M314" s="4">
        <v>702052.47</v>
      </c>
      <c r="N314" s="4">
        <v>121732.51</v>
      </c>
    </row>
    <row r="315" spans="1:14">
      <c r="A315" s="4" t="s">
        <v>100</v>
      </c>
      <c r="B315" s="7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 s="4"/>
      <c r="M315" s="4">
        <v>688368.46</v>
      </c>
      <c r="N315" s="4">
        <v>93588.42</v>
      </c>
    </row>
    <row r="316" spans="1:14">
      <c r="A316" s="4" t="s">
        <v>100</v>
      </c>
      <c r="B316" s="7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0.091</v>
      </c>
      <c r="H316" s="4">
        <v>14</v>
      </c>
      <c r="I316" s="4">
        <v>98.2</v>
      </c>
      <c r="J316" s="4">
        <v>4.38</v>
      </c>
      <c r="K316" s="4">
        <v>1</v>
      </c>
      <c r="L316" s="4">
        <v>3.9</v>
      </c>
      <c r="M316" s="4">
        <v>712375.77</v>
      </c>
      <c r="N316" s="4">
        <v>104171.53</v>
      </c>
    </row>
    <row r="317" spans="1:14">
      <c r="A317" s="4" t="s">
        <v>100</v>
      </c>
      <c r="B317" s="7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</v>
      </c>
      <c r="K317" s="4">
        <v>0</v>
      </c>
      <c r="L317" s="4">
        <v>4.2</v>
      </c>
      <c r="M317" s="4">
        <v>844710.67</v>
      </c>
      <c r="N317" s="4">
        <v>137140.18</v>
      </c>
    </row>
    <row r="318" spans="1:14">
      <c r="A318" s="4" t="s">
        <v>101</v>
      </c>
      <c r="B318" s="7">
        <v>45658</v>
      </c>
      <c r="C318" s="4" t="s">
        <v>15</v>
      </c>
      <c r="D318" s="4" t="s">
        <v>16</v>
      </c>
      <c r="E318" s="4">
        <v>76614.32</v>
      </c>
      <c r="F318" s="4">
        <v>5639</v>
      </c>
      <c r="G318" s="4">
        <v>0.174</v>
      </c>
      <c r="H318" s="4">
        <v>15</v>
      </c>
      <c r="I318" s="4">
        <v>92.9</v>
      </c>
      <c r="J318" s="4">
        <v>1.02</v>
      </c>
      <c r="K318" s="4">
        <v>1</v>
      </c>
      <c r="L318" s="4">
        <v>4</v>
      </c>
      <c r="M318" s="4">
        <v>620264.2</v>
      </c>
      <c r="N318" s="4">
        <v>91365.64</v>
      </c>
    </row>
    <row r="319" spans="1:14">
      <c r="A319" s="4" t="s">
        <v>101</v>
      </c>
      <c r="B319" s="7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 s="4">
        <v>3.8</v>
      </c>
      <c r="M319" s="4">
        <v>536845.42</v>
      </c>
      <c r="N319" s="4">
        <v>107473.75</v>
      </c>
    </row>
    <row r="320" spans="1:14">
      <c r="A320" s="4" t="s">
        <v>101</v>
      </c>
      <c r="B320" s="7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4.89</v>
      </c>
      <c r="K320" s="4">
        <v>1</v>
      </c>
      <c r="L320" s="4">
        <v>4.2</v>
      </c>
      <c r="M320" s="4">
        <v>726776.22</v>
      </c>
      <c r="N320" s="4">
        <v>90804.49</v>
      </c>
    </row>
    <row r="321" spans="1:14">
      <c r="A321" s="4" t="s">
        <v>101</v>
      </c>
      <c r="B321" s="7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</v>
      </c>
      <c r="H321" s="4">
        <v>17</v>
      </c>
      <c r="I321" s="4">
        <v>84.3</v>
      </c>
      <c r="J321" s="4">
        <v>11.82</v>
      </c>
      <c r="K321" s="4">
        <v>0</v>
      </c>
      <c r="L321" s="4">
        <v>4.1</v>
      </c>
      <c r="M321" s="4">
        <v>559660.84</v>
      </c>
      <c r="N321" s="4">
        <v>71443.61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1"/>
  <sheetViews>
    <sheetView workbookViewId="0">
      <selection activeCell="O1" sqref="O$1:O$1048576"/>
    </sheetView>
  </sheetViews>
  <sheetFormatPr defaultColWidth="9" defaultRowHeight="14.25"/>
  <sheetData>
    <row r="1" ht="4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14</v>
      </c>
      <c r="B2" s="7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0.042</v>
      </c>
      <c r="H2" s="4">
        <v>17</v>
      </c>
      <c r="I2" s="4">
        <v>75</v>
      </c>
      <c r="J2" s="4">
        <v>5.28</v>
      </c>
      <c r="K2" s="4">
        <v>1</v>
      </c>
      <c r="L2" s="4">
        <v>3.1</v>
      </c>
      <c r="M2" s="4">
        <v>658832.62</v>
      </c>
      <c r="N2" s="4">
        <v>84349.93</v>
      </c>
    </row>
    <row r="3" spans="1:14">
      <c r="A3" s="4" t="s">
        <v>14</v>
      </c>
      <c r="B3" s="7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</v>
      </c>
      <c r="H3" s="4">
        <v>23</v>
      </c>
      <c r="I3" s="4">
        <v>84.4</v>
      </c>
      <c r="J3" s="4">
        <v>4.31</v>
      </c>
      <c r="K3" s="4">
        <v>0</v>
      </c>
      <c r="L3" s="4">
        <v>2.8</v>
      </c>
      <c r="M3" s="4">
        <v>634436</v>
      </c>
      <c r="N3" s="4">
        <v>106130.54</v>
      </c>
    </row>
    <row r="4" spans="1:14">
      <c r="A4" s="4" t="s">
        <v>14</v>
      </c>
      <c r="B4" s="7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</v>
      </c>
      <c r="H4" s="4">
        <v>20</v>
      </c>
      <c r="I4" s="4">
        <v>88</v>
      </c>
      <c r="J4" s="4">
        <v>12</v>
      </c>
      <c r="K4" s="4">
        <v>0</v>
      </c>
      <c r="L4" s="4">
        <v>3.2</v>
      </c>
      <c r="M4" s="4">
        <v>678722.06</v>
      </c>
      <c r="N4" s="4">
        <v>101883.86</v>
      </c>
    </row>
    <row r="5" spans="1:14">
      <c r="A5" s="4" t="s">
        <v>14</v>
      </c>
      <c r="B5" s="7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0.142</v>
      </c>
      <c r="H5" s="4">
        <v>23</v>
      </c>
      <c r="I5" s="4">
        <v>86.9</v>
      </c>
      <c r="J5" s="4">
        <v>4.97</v>
      </c>
      <c r="K5" s="4">
        <v>0</v>
      </c>
      <c r="L5" s="4">
        <v>3.4</v>
      </c>
      <c r="M5" s="4">
        <v>658920.3</v>
      </c>
      <c r="N5" s="4">
        <v>97910.37</v>
      </c>
    </row>
    <row r="6" spans="1:14">
      <c r="A6" s="4" t="s">
        <v>17</v>
      </c>
      <c r="B6" s="7">
        <v>45658</v>
      </c>
      <c r="C6" s="4" t="s">
        <v>15</v>
      </c>
      <c r="D6" s="4" t="s">
        <v>18</v>
      </c>
      <c r="E6" s="4">
        <v>48412.64</v>
      </c>
      <c r="F6" s="4">
        <v>9545</v>
      </c>
      <c r="G6" s="4">
        <v>0.231</v>
      </c>
      <c r="H6" s="4">
        <v>21</v>
      </c>
      <c r="I6" s="4">
        <v>97.6</v>
      </c>
      <c r="J6" s="4">
        <v>6.94</v>
      </c>
      <c r="K6" s="4">
        <v>1</v>
      </c>
      <c r="L6" s="4">
        <v>4.2</v>
      </c>
      <c r="M6" s="4">
        <v>741341.44</v>
      </c>
      <c r="N6" s="4">
        <v>119208.17</v>
      </c>
    </row>
    <row r="7" spans="1:14">
      <c r="A7" s="4" t="s">
        <v>17</v>
      </c>
      <c r="B7" s="7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 s="4">
        <v>4.2</v>
      </c>
      <c r="M7" s="4">
        <v>761835.34</v>
      </c>
      <c r="N7" s="4">
        <v>149602.23</v>
      </c>
    </row>
    <row r="8" spans="1:14">
      <c r="A8" s="4" t="s">
        <v>17</v>
      </c>
      <c r="B8" s="7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 s="4">
        <v>4.1</v>
      </c>
      <c r="M8" s="4">
        <v>806615.54</v>
      </c>
      <c r="N8" s="4">
        <v>131364.62</v>
      </c>
    </row>
    <row r="9" spans="1:14">
      <c r="A9" s="4" t="s">
        <v>17</v>
      </c>
      <c r="B9" s="7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 s="4">
        <v>3.9</v>
      </c>
      <c r="M9" s="4">
        <v>850164.26</v>
      </c>
      <c r="N9" s="4">
        <v>149262.75</v>
      </c>
    </row>
    <row r="10" spans="1:14">
      <c r="A10" s="4" t="s">
        <v>19</v>
      </c>
      <c r="B10" s="7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 s="4">
        <v>3.8</v>
      </c>
      <c r="M10" s="4">
        <v>930581.7</v>
      </c>
      <c r="N10" s="4">
        <v>136207.98</v>
      </c>
    </row>
    <row r="11" spans="1:14">
      <c r="A11" s="4" t="s">
        <v>19</v>
      </c>
      <c r="B11" s="7">
        <v>45689</v>
      </c>
      <c r="C11" s="4" t="s">
        <v>20</v>
      </c>
      <c r="D11" s="4" t="s">
        <v>21</v>
      </c>
      <c r="E11" s="4">
        <v>68133.44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 s="4">
        <v>4.2</v>
      </c>
      <c r="M11" s="4">
        <v>779010.94</v>
      </c>
      <c r="N11" s="4">
        <v>106328.09</v>
      </c>
    </row>
    <row r="12" spans="1:14">
      <c r="A12" s="4" t="s">
        <v>19</v>
      </c>
      <c r="B12" s="7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0.213</v>
      </c>
      <c r="H12" s="4">
        <v>22</v>
      </c>
      <c r="I12" s="4">
        <v>88.3</v>
      </c>
      <c r="J12" s="4">
        <v>10.46</v>
      </c>
      <c r="K12" s="4">
        <v>1</v>
      </c>
      <c r="L12" s="4">
        <v>3.8</v>
      </c>
      <c r="M12" s="4">
        <v>723060.76</v>
      </c>
      <c r="N12" s="4">
        <v>123131.24</v>
      </c>
    </row>
    <row r="13" spans="1:14">
      <c r="A13" s="4" t="s">
        <v>19</v>
      </c>
      <c r="B13" s="7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0.002</v>
      </c>
      <c r="H13" s="4">
        <v>28</v>
      </c>
      <c r="I13" s="4">
        <v>85.3</v>
      </c>
      <c r="J13" s="4">
        <v>7.16</v>
      </c>
      <c r="K13" s="4">
        <v>0</v>
      </c>
      <c r="L13" s="4">
        <v>3.8</v>
      </c>
      <c r="M13" s="4">
        <v>910791.94</v>
      </c>
      <c r="N13" s="4">
        <v>158891.28</v>
      </c>
    </row>
    <row r="14" spans="1:14">
      <c r="A14" s="4" t="s">
        <v>22</v>
      </c>
      <c r="B14" s="7">
        <v>45658</v>
      </c>
      <c r="C14" s="4" t="s">
        <v>15</v>
      </c>
      <c r="D14" s="4" t="s">
        <v>16</v>
      </c>
      <c r="E14" s="4">
        <v>71828.26</v>
      </c>
      <c r="F14" s="4">
        <v>12775</v>
      </c>
      <c r="G14" s="4">
        <v>0.116</v>
      </c>
      <c r="H14" s="4">
        <v>30</v>
      </c>
      <c r="I14" s="4">
        <v>81.7</v>
      </c>
      <c r="J14" s="4">
        <v>4.24</v>
      </c>
      <c r="K14" s="4">
        <v>1</v>
      </c>
      <c r="L14" s="4">
        <v>4.2</v>
      </c>
      <c r="M14" s="4">
        <v>922168.6</v>
      </c>
      <c r="N14" s="4">
        <v>107494.53</v>
      </c>
    </row>
    <row r="15" spans="1:14">
      <c r="A15" s="4" t="s">
        <v>22</v>
      </c>
      <c r="B15" s="7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0.146</v>
      </c>
      <c r="H15" s="4">
        <v>24</v>
      </c>
      <c r="I15" s="4">
        <v>84.9</v>
      </c>
      <c r="J15" s="4">
        <v>1.06</v>
      </c>
      <c r="K15" s="4">
        <v>0</v>
      </c>
      <c r="L15" s="4">
        <v>4.3</v>
      </c>
      <c r="M15" s="4">
        <v>726606.28</v>
      </c>
      <c r="N15" s="4">
        <v>122729.29</v>
      </c>
    </row>
    <row r="16" spans="1:14">
      <c r="A16" s="4" t="s">
        <v>22</v>
      </c>
      <c r="B16" s="7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</v>
      </c>
      <c r="H16" s="4">
        <v>23</v>
      </c>
      <c r="I16" s="4">
        <v>88.8</v>
      </c>
      <c r="J16" s="4">
        <v>0.27</v>
      </c>
      <c r="K16" s="4">
        <v>0</v>
      </c>
      <c r="L16" s="4">
        <v>4.3</v>
      </c>
      <c r="M16" s="4">
        <v>746501.09</v>
      </c>
      <c r="N16" s="4">
        <v>136816.72</v>
      </c>
    </row>
    <row r="17" spans="1:14">
      <c r="A17" s="4" t="s">
        <v>22</v>
      </c>
      <c r="B17" s="7">
        <v>45748</v>
      </c>
      <c r="C17" s="4" t="s">
        <v>15</v>
      </c>
      <c r="D17" s="4" t="s">
        <v>16</v>
      </c>
      <c r="E17" s="4">
        <v>75305.71</v>
      </c>
      <c r="F17" s="4">
        <v>10940</v>
      </c>
      <c r="G17" s="4">
        <v>0.006</v>
      </c>
      <c r="H17" s="4">
        <v>26</v>
      </c>
      <c r="I17" s="4">
        <v>76.5</v>
      </c>
      <c r="J17" s="4">
        <v>1.32</v>
      </c>
      <c r="K17" s="4">
        <v>0</v>
      </c>
      <c r="L17" s="4">
        <v>4.5</v>
      </c>
      <c r="M17" s="4">
        <v>834017.02</v>
      </c>
      <c r="N17" s="4">
        <v>114745.03</v>
      </c>
    </row>
    <row r="18" spans="1:14">
      <c r="A18" s="4" t="s">
        <v>23</v>
      </c>
      <c r="B18" s="7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0.005</v>
      </c>
      <c r="H18" s="4">
        <v>15</v>
      </c>
      <c r="I18" s="4">
        <v>87.7</v>
      </c>
      <c r="J18" s="4">
        <v>1.22</v>
      </c>
      <c r="K18" s="4">
        <v>0</v>
      </c>
      <c r="L18" s="4">
        <v>3.7</v>
      </c>
      <c r="M18" s="4">
        <v>666152.52</v>
      </c>
      <c r="N18" s="4">
        <v>107490.58</v>
      </c>
    </row>
    <row r="19" spans="1:14">
      <c r="A19" s="4" t="s">
        <v>23</v>
      </c>
      <c r="B19" s="7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0.119</v>
      </c>
      <c r="H19" s="4">
        <v>9</v>
      </c>
      <c r="I19" s="4">
        <v>87.6</v>
      </c>
      <c r="J19" s="4">
        <v>4.01</v>
      </c>
      <c r="K19" s="4">
        <v>0</v>
      </c>
      <c r="L19" s="4">
        <v>3.6</v>
      </c>
      <c r="M19" s="4">
        <v>573155.19</v>
      </c>
      <c r="N19" s="4">
        <v>83680.75</v>
      </c>
    </row>
    <row r="20" spans="1:14">
      <c r="A20" s="4" t="s">
        <v>23</v>
      </c>
      <c r="B20" s="7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 s="4">
        <v>3.9</v>
      </c>
      <c r="M20" s="4">
        <v>666573.2</v>
      </c>
      <c r="N20" s="4">
        <v>140641.02</v>
      </c>
    </row>
    <row r="21" spans="1:14">
      <c r="A21" s="4" t="s">
        <v>23</v>
      </c>
      <c r="B21" s="7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 s="4">
        <v>4</v>
      </c>
      <c r="M21" s="4">
        <v>591619.95</v>
      </c>
      <c r="N21" s="4">
        <v>99521.35</v>
      </c>
    </row>
    <row r="22" spans="1:14">
      <c r="A22" s="4" t="s">
        <v>25</v>
      </c>
      <c r="B22" s="7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</v>
      </c>
      <c r="H22" s="4">
        <v>9</v>
      </c>
      <c r="I22" s="4">
        <v>84.8</v>
      </c>
      <c r="J22" s="4">
        <v>6.95</v>
      </c>
      <c r="K22" s="4">
        <v>0</v>
      </c>
      <c r="L22" s="4">
        <v>5</v>
      </c>
      <c r="M22" s="4">
        <v>415721.82</v>
      </c>
      <c r="N22" s="4">
        <v>61179.15</v>
      </c>
    </row>
    <row r="23" spans="1:14">
      <c r="A23" s="4" t="s">
        <v>25</v>
      </c>
      <c r="B23" s="7">
        <v>45689</v>
      </c>
      <c r="C23" s="4" t="s">
        <v>20</v>
      </c>
      <c r="D23" s="4" t="s">
        <v>16</v>
      </c>
      <c r="E23" s="4">
        <v>33518.88</v>
      </c>
      <c r="F23" s="4">
        <v>2121</v>
      </c>
      <c r="G23" s="4">
        <v>0.176</v>
      </c>
      <c r="H23" s="4">
        <v>8</v>
      </c>
      <c r="I23" s="4">
        <v>88.5</v>
      </c>
      <c r="J23" s="4">
        <v>0.2</v>
      </c>
      <c r="K23" s="4">
        <v>0</v>
      </c>
      <c r="L23" s="4">
        <v>5</v>
      </c>
      <c r="M23" s="4">
        <v>491905.13</v>
      </c>
      <c r="N23" s="4">
        <v>79212.26</v>
      </c>
    </row>
    <row r="24" spans="1:14">
      <c r="A24" s="4" t="s">
        <v>25</v>
      </c>
      <c r="B24" s="7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 s="4">
        <v>4.6</v>
      </c>
      <c r="M24" s="4">
        <v>555929.4</v>
      </c>
      <c r="N24" s="4">
        <v>115201.76</v>
      </c>
    </row>
    <row r="25" spans="1:14">
      <c r="A25" s="4" t="s">
        <v>25</v>
      </c>
      <c r="B25" s="7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 s="4">
        <v>4.7</v>
      </c>
      <c r="M25" s="4">
        <v>565810.99</v>
      </c>
      <c r="N25" s="4">
        <v>77825.46</v>
      </c>
    </row>
    <row r="26" spans="1:14">
      <c r="A26" s="4" t="s">
        <v>26</v>
      </c>
      <c r="B26" s="7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 s="4">
        <v>3.5</v>
      </c>
      <c r="M26" s="4">
        <v>811771.14</v>
      </c>
      <c r="N26" s="4">
        <v>148756.24</v>
      </c>
    </row>
    <row r="27" spans="1:14">
      <c r="A27" s="4" t="s">
        <v>26</v>
      </c>
      <c r="B27" s="7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</v>
      </c>
      <c r="H27" s="4">
        <v>22</v>
      </c>
      <c r="I27" s="4">
        <v>86.2</v>
      </c>
      <c r="J27" s="4">
        <v>7.04</v>
      </c>
      <c r="K27" s="4">
        <v>0</v>
      </c>
      <c r="L27" s="4">
        <v>3.9</v>
      </c>
      <c r="M27" s="4">
        <v>800451.94</v>
      </c>
      <c r="N27" s="4">
        <v>111572.29</v>
      </c>
    </row>
    <row r="28" spans="1:14">
      <c r="A28" s="4" t="s">
        <v>26</v>
      </c>
      <c r="B28" s="7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</v>
      </c>
      <c r="H28" s="4">
        <v>23</v>
      </c>
      <c r="I28" s="4">
        <v>91.9</v>
      </c>
      <c r="J28" s="4">
        <v>4.94</v>
      </c>
      <c r="K28" s="4">
        <v>0</v>
      </c>
      <c r="L28" s="4">
        <v>4</v>
      </c>
      <c r="M28" s="4">
        <v>783672.82</v>
      </c>
      <c r="N28" s="4">
        <v>112577.14</v>
      </c>
    </row>
    <row r="29" spans="1:14">
      <c r="A29" s="4" t="s">
        <v>26</v>
      </c>
      <c r="B29" s="7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16.15</v>
      </c>
      <c r="K29" s="4">
        <v>0</v>
      </c>
      <c r="L29" s="4">
        <v>3.7</v>
      </c>
      <c r="M29" s="4">
        <v>701641.97</v>
      </c>
      <c r="N29" s="4">
        <v>106111.86</v>
      </c>
    </row>
    <row r="30" spans="1:14">
      <c r="A30" s="4" t="s">
        <v>29</v>
      </c>
      <c r="B30" s="7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 s="4">
        <v>3.6</v>
      </c>
      <c r="M30" s="4">
        <v>511844.41</v>
      </c>
      <c r="N30" s="4">
        <v>72774.44</v>
      </c>
    </row>
    <row r="31" spans="1:14">
      <c r="A31" s="4" t="s">
        <v>29</v>
      </c>
      <c r="B31" s="7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 s="4">
        <v>3.1</v>
      </c>
      <c r="M31" s="4">
        <v>537383.79</v>
      </c>
      <c r="N31" s="4">
        <v>63773.27</v>
      </c>
    </row>
    <row r="32" spans="1:14">
      <c r="A32" s="4" t="s">
        <v>29</v>
      </c>
      <c r="B32" s="7">
        <v>45717</v>
      </c>
      <c r="C32" s="4" t="s">
        <v>15</v>
      </c>
      <c r="D32" s="4" t="s">
        <v>16</v>
      </c>
      <c r="E32" s="4">
        <v>44970.08</v>
      </c>
      <c r="F32" s="4">
        <v>2471</v>
      </c>
      <c r="G32" s="4">
        <v>0.136</v>
      </c>
      <c r="H32" s="4">
        <v>11</v>
      </c>
      <c r="I32" s="4">
        <v>87.6</v>
      </c>
      <c r="J32" s="4">
        <v>3.01</v>
      </c>
      <c r="K32" s="4">
        <v>1</v>
      </c>
      <c r="L32" s="4">
        <v>3.7</v>
      </c>
      <c r="M32" s="4">
        <v>500173.02</v>
      </c>
      <c r="N32" s="4">
        <v>70982.05</v>
      </c>
    </row>
    <row r="33" spans="1:14">
      <c r="A33" s="4" t="s">
        <v>29</v>
      </c>
      <c r="B33" s="7">
        <v>45748</v>
      </c>
      <c r="C33" s="4" t="s">
        <v>15</v>
      </c>
      <c r="D33" s="4" t="s">
        <v>16</v>
      </c>
      <c r="E33" s="4">
        <v>69816.35</v>
      </c>
      <c r="F33" s="4">
        <v>971</v>
      </c>
      <c r="G33" s="4">
        <v>0.168</v>
      </c>
      <c r="H33" s="4">
        <v>5</v>
      </c>
      <c r="I33" s="4">
        <v>89.9</v>
      </c>
      <c r="J33" s="4">
        <v>12.15</v>
      </c>
      <c r="K33" s="4">
        <v>0</v>
      </c>
      <c r="L33" s="4">
        <v>3.6</v>
      </c>
      <c r="M33" s="4">
        <v>427917.38</v>
      </c>
      <c r="N33" s="4">
        <v>81824.31</v>
      </c>
    </row>
    <row r="34" spans="1:14">
      <c r="A34" s="4" t="s">
        <v>30</v>
      </c>
      <c r="B34" s="7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 s="4">
        <v>4.2</v>
      </c>
      <c r="M34" s="4">
        <v>641865.03</v>
      </c>
      <c r="N34" s="4">
        <v>81342.58</v>
      </c>
    </row>
    <row r="35" spans="1:14">
      <c r="A35" s="4" t="s">
        <v>30</v>
      </c>
      <c r="B35" s="7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0.07</v>
      </c>
      <c r="H35" s="4">
        <v>25</v>
      </c>
      <c r="I35" s="4">
        <v>84.7</v>
      </c>
      <c r="J35" s="4">
        <v>0.62</v>
      </c>
      <c r="K35" s="4">
        <v>0</v>
      </c>
      <c r="L35" s="4"/>
      <c r="M35" s="4">
        <v>799477.76</v>
      </c>
      <c r="N35" s="4">
        <v>164974.41</v>
      </c>
    </row>
    <row r="36" spans="1:14">
      <c r="A36" s="4" t="s">
        <v>30</v>
      </c>
      <c r="B36" s="7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0.039</v>
      </c>
      <c r="H36" s="4">
        <v>23</v>
      </c>
      <c r="I36" s="4">
        <v>92.1</v>
      </c>
      <c r="J36" s="4">
        <v>2.12</v>
      </c>
      <c r="K36" s="4">
        <v>0</v>
      </c>
      <c r="L36" s="4">
        <v>3.5</v>
      </c>
      <c r="M36" s="4">
        <v>798952.17</v>
      </c>
      <c r="N36" s="4">
        <v>161499.04</v>
      </c>
    </row>
    <row r="37" spans="1:14">
      <c r="A37" s="4" t="s">
        <v>30</v>
      </c>
      <c r="B37" s="7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 s="4">
        <v>3.6</v>
      </c>
      <c r="M37" s="4">
        <v>800979.78</v>
      </c>
      <c r="N37" s="4">
        <v>149242.27</v>
      </c>
    </row>
    <row r="38" spans="1:14">
      <c r="A38" s="4" t="s">
        <v>31</v>
      </c>
      <c r="B38" s="7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0.092</v>
      </c>
      <c r="H38" s="4">
        <v>21</v>
      </c>
      <c r="I38" s="4">
        <v>83.1</v>
      </c>
      <c r="J38" s="4">
        <v>9.56</v>
      </c>
      <c r="K38" s="4">
        <v>1</v>
      </c>
      <c r="L38" s="4">
        <v>4.2</v>
      </c>
      <c r="M38" s="4">
        <v>820593.93</v>
      </c>
      <c r="N38" s="4">
        <v>115860.06</v>
      </c>
    </row>
    <row r="39" spans="1:14">
      <c r="A39" s="4" t="s">
        <v>31</v>
      </c>
      <c r="B39" s="7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</v>
      </c>
      <c r="K39" s="4">
        <v>0</v>
      </c>
      <c r="L39" s="4">
        <v>3.8</v>
      </c>
      <c r="M39" s="4">
        <v>718330.53</v>
      </c>
      <c r="N39" s="4">
        <v>93247.9</v>
      </c>
    </row>
    <row r="40" spans="1:14">
      <c r="A40" s="4" t="s">
        <v>31</v>
      </c>
      <c r="B40" s="7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</v>
      </c>
      <c r="H40" s="4">
        <v>19</v>
      </c>
      <c r="I40" s="4">
        <v>82.9</v>
      </c>
      <c r="J40" s="4">
        <v>5.05</v>
      </c>
      <c r="K40" s="4">
        <v>0</v>
      </c>
      <c r="L40" s="4">
        <v>4</v>
      </c>
      <c r="M40" s="4">
        <v>736633.4</v>
      </c>
      <c r="N40" s="4">
        <v>115654.66</v>
      </c>
    </row>
    <row r="41" spans="1:14">
      <c r="A41" s="4" t="s">
        <v>31</v>
      </c>
      <c r="B41" s="7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0.085</v>
      </c>
      <c r="H41" s="4">
        <v>24</v>
      </c>
      <c r="I41" s="4">
        <v>98.3</v>
      </c>
      <c r="J41" s="4">
        <v>0.89</v>
      </c>
      <c r="K41" s="4">
        <v>0</v>
      </c>
      <c r="L41" s="4">
        <v>3.8</v>
      </c>
      <c r="M41" s="4">
        <v>828623.85</v>
      </c>
      <c r="N41" s="4">
        <v>167320.52</v>
      </c>
    </row>
    <row r="42" spans="1:14">
      <c r="A42" s="4" t="s">
        <v>32</v>
      </c>
      <c r="B42" s="7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 s="4">
        <v>4.4</v>
      </c>
      <c r="M42" s="4">
        <v>592195.85</v>
      </c>
      <c r="N42" s="4">
        <v>92291.56</v>
      </c>
    </row>
    <row r="43" spans="1:14">
      <c r="A43" s="4" t="s">
        <v>32</v>
      </c>
      <c r="B43" s="7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0.143</v>
      </c>
      <c r="H43" s="4">
        <v>10</v>
      </c>
      <c r="I43" s="4">
        <v>75.4</v>
      </c>
      <c r="J43" s="4">
        <v>1.06</v>
      </c>
      <c r="K43" s="4">
        <v>0</v>
      </c>
      <c r="L43" s="4">
        <v>4.4</v>
      </c>
      <c r="M43" s="4">
        <v>532644.46</v>
      </c>
      <c r="N43" s="4">
        <v>60681.32</v>
      </c>
    </row>
    <row r="44" spans="1:14">
      <c r="A44" s="4" t="s">
        <v>32</v>
      </c>
      <c r="B44" s="7">
        <v>45717</v>
      </c>
      <c r="C44" s="4" t="s">
        <v>15</v>
      </c>
      <c r="D44" s="4" t="s">
        <v>28</v>
      </c>
      <c r="E44" s="4">
        <v>68077.54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 s="4">
        <v>4</v>
      </c>
      <c r="M44" s="4">
        <v>657429.18</v>
      </c>
      <c r="N44" s="4">
        <v>88919.74</v>
      </c>
    </row>
    <row r="45" spans="1:14">
      <c r="A45" s="4" t="s">
        <v>32</v>
      </c>
      <c r="B45" s="7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0.019</v>
      </c>
      <c r="H45" s="4">
        <v>13</v>
      </c>
      <c r="I45" s="4">
        <v>87.8</v>
      </c>
      <c r="J45" s="4">
        <v>4.52</v>
      </c>
      <c r="K45" s="4">
        <v>0</v>
      </c>
      <c r="L45" s="4">
        <v>4.2</v>
      </c>
      <c r="M45" s="4">
        <v>605178</v>
      </c>
      <c r="N45" s="4">
        <v>106958.74</v>
      </c>
    </row>
    <row r="46" spans="1:14">
      <c r="A46" s="4" t="s">
        <v>33</v>
      </c>
      <c r="B46" s="7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 s="4">
        <v>3.2</v>
      </c>
      <c r="M46" s="4">
        <v>595467.6</v>
      </c>
      <c r="N46" s="4">
        <v>104276.46</v>
      </c>
    </row>
    <row r="47" spans="1:14">
      <c r="A47" s="4" t="s">
        <v>33</v>
      </c>
      <c r="B47" s="7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0.235</v>
      </c>
      <c r="H47" s="4">
        <v>14</v>
      </c>
      <c r="I47" s="4">
        <v>98.6</v>
      </c>
      <c r="J47" s="4">
        <v>5.52</v>
      </c>
      <c r="K47" s="4">
        <v>0</v>
      </c>
      <c r="L47" s="4">
        <v>3.5</v>
      </c>
      <c r="M47" s="4">
        <v>599603.4</v>
      </c>
      <c r="N47" s="4">
        <v>112685.12</v>
      </c>
    </row>
    <row r="48" spans="1:14">
      <c r="A48" s="4" t="s">
        <v>33</v>
      </c>
      <c r="B48" s="7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 s="4">
        <v>3.2</v>
      </c>
      <c r="M48" s="4">
        <v>614800.09</v>
      </c>
      <c r="N48" s="4">
        <v>100044.2</v>
      </c>
    </row>
    <row r="49" spans="1:14">
      <c r="A49" s="4" t="s">
        <v>33</v>
      </c>
      <c r="B49" s="7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 s="4">
        <v>3.3</v>
      </c>
      <c r="M49" s="4">
        <v>585365.73</v>
      </c>
      <c r="N49" s="4">
        <v>81011.52</v>
      </c>
    </row>
    <row r="50" spans="1:14">
      <c r="A50" s="4" t="s">
        <v>34</v>
      </c>
      <c r="B50" s="7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 s="4">
        <v>4.7</v>
      </c>
      <c r="M50" s="4">
        <v>622811.74</v>
      </c>
      <c r="N50" s="4">
        <v>109978.35</v>
      </c>
    </row>
    <row r="51" spans="1:14">
      <c r="A51" s="4" t="s">
        <v>34</v>
      </c>
      <c r="B51" s="7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 s="4">
        <v>4.6</v>
      </c>
      <c r="M51" s="4">
        <v>603297.57</v>
      </c>
      <c r="N51" s="4">
        <v>60592.26</v>
      </c>
    </row>
    <row r="52" spans="1:14">
      <c r="A52" s="4" t="s">
        <v>34</v>
      </c>
      <c r="B52" s="7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0.008</v>
      </c>
      <c r="H52" s="4">
        <v>12</v>
      </c>
      <c r="I52" s="4">
        <v>80.4</v>
      </c>
      <c r="J52" s="4">
        <v>7.4</v>
      </c>
      <c r="K52" s="4">
        <v>0</v>
      </c>
      <c r="L52" s="4">
        <v>4.5</v>
      </c>
      <c r="M52" s="4">
        <v>625672.86</v>
      </c>
      <c r="N52" s="4">
        <v>118020.12</v>
      </c>
    </row>
    <row r="53" spans="1:14">
      <c r="A53" s="4" t="s">
        <v>34</v>
      </c>
      <c r="B53" s="7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 s="4">
        <v>4.6</v>
      </c>
      <c r="M53" s="4">
        <v>773815.14</v>
      </c>
      <c r="N53" s="4">
        <v>133948.39</v>
      </c>
    </row>
    <row r="54" spans="1:14">
      <c r="A54" s="4" t="s">
        <v>35</v>
      </c>
      <c r="B54" s="7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0.087</v>
      </c>
      <c r="H54" s="4">
        <v>9</v>
      </c>
      <c r="I54" s="4">
        <v>84.3</v>
      </c>
      <c r="J54" s="4">
        <v>22.02</v>
      </c>
      <c r="K54" s="4">
        <v>0</v>
      </c>
      <c r="L54" s="4">
        <v>3.9</v>
      </c>
      <c r="M54" s="4">
        <v>463534.25</v>
      </c>
      <c r="N54" s="4">
        <v>81834.54</v>
      </c>
    </row>
    <row r="55" spans="1:14">
      <c r="A55" s="4" t="s">
        <v>35</v>
      </c>
      <c r="B55" s="7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</v>
      </c>
      <c r="H55" s="4">
        <v>14</v>
      </c>
      <c r="I55" s="4">
        <v>88.7</v>
      </c>
      <c r="J55" s="4">
        <v>6.18</v>
      </c>
      <c r="K55" s="4">
        <v>0</v>
      </c>
      <c r="L55" s="4">
        <v>4.7</v>
      </c>
      <c r="M55" s="4">
        <v>746677.75</v>
      </c>
      <c r="N55" s="4">
        <v>122437.84</v>
      </c>
    </row>
    <row r="56" spans="1:14">
      <c r="A56" s="4" t="s">
        <v>35</v>
      </c>
      <c r="B56" s="7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 s="4">
        <v>4.3</v>
      </c>
      <c r="M56" s="4">
        <v>720852.5</v>
      </c>
      <c r="N56" s="4">
        <v>98565.62</v>
      </c>
    </row>
    <row r="57" spans="1:14">
      <c r="A57" s="4" t="s">
        <v>35</v>
      </c>
      <c r="B57" s="7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 s="4">
        <v>4.1</v>
      </c>
      <c r="M57" s="4">
        <v>487464.91</v>
      </c>
      <c r="N57" s="4">
        <v>64562.26</v>
      </c>
    </row>
    <row r="58" spans="1:14">
      <c r="A58" s="4" t="s">
        <v>36</v>
      </c>
      <c r="B58" s="7">
        <v>45658</v>
      </c>
      <c r="C58" s="4" t="s">
        <v>15</v>
      </c>
      <c r="D58" s="4" t="s">
        <v>21</v>
      </c>
      <c r="E58" s="4">
        <v>19365.06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 s="4">
        <v>3.5</v>
      </c>
      <c r="M58" s="4">
        <v>518049.26</v>
      </c>
      <c r="N58" s="4">
        <v>108592.49</v>
      </c>
    </row>
    <row r="59" spans="1:14">
      <c r="A59" s="4" t="s">
        <v>36</v>
      </c>
      <c r="B59" s="7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0.039</v>
      </c>
      <c r="H59" s="4">
        <v>12</v>
      </c>
      <c r="I59" s="4">
        <v>76</v>
      </c>
      <c r="J59" s="4">
        <v>5.11</v>
      </c>
      <c r="K59" s="4">
        <v>0</v>
      </c>
      <c r="L59" s="4">
        <v>3.7</v>
      </c>
      <c r="M59" s="4">
        <v>500298.48</v>
      </c>
      <c r="N59" s="4">
        <v>73461.32</v>
      </c>
    </row>
    <row r="60" spans="1:14">
      <c r="A60" s="4" t="s">
        <v>36</v>
      </c>
      <c r="B60" s="7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</v>
      </c>
      <c r="H60" s="4">
        <v>11</v>
      </c>
      <c r="I60" s="4">
        <v>87.1</v>
      </c>
      <c r="J60" s="4">
        <v>0.2</v>
      </c>
      <c r="K60" s="4">
        <v>0</v>
      </c>
      <c r="L60" s="4">
        <v>3.1</v>
      </c>
      <c r="M60" s="4">
        <v>617291.15</v>
      </c>
      <c r="N60" s="4">
        <v>117782</v>
      </c>
    </row>
    <row r="61" spans="1:14">
      <c r="A61" s="4" t="s">
        <v>36</v>
      </c>
      <c r="B61" s="7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0.092</v>
      </c>
      <c r="H61" s="4">
        <v>14</v>
      </c>
      <c r="I61" s="4">
        <v>88.6</v>
      </c>
      <c r="J61" s="4">
        <v>13.59</v>
      </c>
      <c r="K61" s="4">
        <v>0</v>
      </c>
      <c r="L61" s="4">
        <v>3.1</v>
      </c>
      <c r="M61" s="4">
        <v>553756.43</v>
      </c>
      <c r="N61" s="4">
        <v>86166.77</v>
      </c>
    </row>
    <row r="62" spans="1:14">
      <c r="A62" s="4" t="s">
        <v>37</v>
      </c>
      <c r="B62" s="7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0.062</v>
      </c>
      <c r="H62" s="4">
        <v>16</v>
      </c>
      <c r="I62" s="4">
        <v>95.6</v>
      </c>
      <c r="J62" s="4">
        <v>1.02</v>
      </c>
      <c r="K62" s="4">
        <v>0</v>
      </c>
      <c r="L62" s="4">
        <v>3.7</v>
      </c>
      <c r="M62" s="4">
        <v>749559.71</v>
      </c>
      <c r="N62" s="4">
        <v>144522.53</v>
      </c>
    </row>
    <row r="63" spans="1:14">
      <c r="A63" s="4" t="s">
        <v>37</v>
      </c>
      <c r="B63" s="7">
        <v>45689</v>
      </c>
      <c r="C63" s="4" t="s">
        <v>24</v>
      </c>
      <c r="D63" s="4" t="s">
        <v>18</v>
      </c>
      <c r="E63" s="4">
        <v>37284.66</v>
      </c>
      <c r="F63" s="4">
        <v>3928</v>
      </c>
      <c r="G63" s="4">
        <v>0.074</v>
      </c>
      <c r="H63" s="4">
        <v>12</v>
      </c>
      <c r="I63" s="4">
        <v>86.5</v>
      </c>
      <c r="J63" s="4">
        <v>1.64</v>
      </c>
      <c r="K63" s="4">
        <v>0</v>
      </c>
      <c r="L63" s="4">
        <v>3.8</v>
      </c>
      <c r="M63" s="4">
        <v>615966.48</v>
      </c>
      <c r="N63" s="4">
        <v>91509.38</v>
      </c>
    </row>
    <row r="64" spans="1:14">
      <c r="A64" s="4" t="s">
        <v>37</v>
      </c>
      <c r="B64" s="7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 s="4">
        <v>3.3</v>
      </c>
      <c r="M64" s="4">
        <v>572011.2</v>
      </c>
      <c r="N64" s="4">
        <v>101409.68</v>
      </c>
    </row>
    <row r="65" spans="1:14">
      <c r="A65" s="4" t="s">
        <v>37</v>
      </c>
      <c r="B65" s="7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0.054</v>
      </c>
      <c r="H65" s="4">
        <v>17</v>
      </c>
      <c r="I65" s="4">
        <v>91.1</v>
      </c>
      <c r="J65" s="4">
        <v>1.11</v>
      </c>
      <c r="K65" s="4">
        <v>0</v>
      </c>
      <c r="L65" s="4">
        <v>3.5</v>
      </c>
      <c r="M65" s="4">
        <v>761860.19</v>
      </c>
      <c r="N65" s="4">
        <v>133279.38</v>
      </c>
    </row>
    <row r="66" spans="1:14">
      <c r="A66" s="4" t="s">
        <v>38</v>
      </c>
      <c r="B66" s="7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 s="4">
        <v>3.4</v>
      </c>
      <c r="M66" s="4">
        <v>784502.68</v>
      </c>
      <c r="N66" s="4">
        <v>129519.72</v>
      </c>
    </row>
    <row r="67" spans="1:14">
      <c r="A67" s="4" t="s">
        <v>38</v>
      </c>
      <c r="B67" s="7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 s="4">
        <v>3.6</v>
      </c>
      <c r="M67" s="4">
        <v>717141.55</v>
      </c>
      <c r="N67" s="4">
        <v>134013.61</v>
      </c>
    </row>
    <row r="68" spans="1:14">
      <c r="A68" s="4" t="s">
        <v>38</v>
      </c>
      <c r="B68" s="7">
        <v>45717</v>
      </c>
      <c r="C68" s="4" t="s">
        <v>27</v>
      </c>
      <c r="D68" s="4" t="s">
        <v>18</v>
      </c>
      <c r="E68" s="4">
        <v>79346.1</v>
      </c>
      <c r="F68" s="4">
        <v>9628</v>
      </c>
      <c r="G68" s="4">
        <v>0.102</v>
      </c>
      <c r="H68" s="4">
        <v>20</v>
      </c>
      <c r="I68" s="4">
        <v>99</v>
      </c>
      <c r="J68" s="4">
        <v>19.01</v>
      </c>
      <c r="K68" s="4">
        <v>1</v>
      </c>
      <c r="L68" s="4">
        <v>3.2</v>
      </c>
      <c r="M68" s="4">
        <v>685379.08</v>
      </c>
      <c r="N68" s="4">
        <v>106898.82</v>
      </c>
    </row>
    <row r="69" spans="1:14">
      <c r="A69" s="4" t="s">
        <v>38</v>
      </c>
      <c r="B69" s="7">
        <v>45748</v>
      </c>
      <c r="C69" s="4" t="s">
        <v>27</v>
      </c>
      <c r="D69" s="4" t="s">
        <v>18</v>
      </c>
      <c r="E69" s="4">
        <v>42018.4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 s="4">
        <v>3.4</v>
      </c>
      <c r="M69" s="4">
        <v>740496.65</v>
      </c>
      <c r="N69" s="4">
        <v>128020.9</v>
      </c>
    </row>
    <row r="70" spans="1:14">
      <c r="A70" s="4" t="s">
        <v>39</v>
      </c>
      <c r="B70" s="7">
        <v>45658</v>
      </c>
      <c r="C70" s="4" t="s">
        <v>15</v>
      </c>
      <c r="D70" s="4" t="s">
        <v>18</v>
      </c>
      <c r="E70" s="4">
        <v>70937.24</v>
      </c>
      <c r="F70" s="4">
        <v>3595</v>
      </c>
      <c r="G70" s="4">
        <v>0.141</v>
      </c>
      <c r="H70" s="4">
        <v>11</v>
      </c>
      <c r="I70" s="4">
        <v>88.9</v>
      </c>
      <c r="J70" s="4">
        <v>2.83</v>
      </c>
      <c r="K70" s="4">
        <v>1</v>
      </c>
      <c r="L70" s="4">
        <v>3.3</v>
      </c>
      <c r="M70" s="4">
        <v>661927.14</v>
      </c>
      <c r="N70" s="4">
        <v>79218.57</v>
      </c>
    </row>
    <row r="71" spans="1:14">
      <c r="A71" s="4" t="s">
        <v>39</v>
      </c>
      <c r="B71" s="7">
        <v>45689</v>
      </c>
      <c r="C71" s="4" t="s">
        <v>15</v>
      </c>
      <c r="D71" s="4" t="s">
        <v>18</v>
      </c>
      <c r="E71" s="4">
        <v>36813.45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 s="4">
        <v>3.3</v>
      </c>
      <c r="M71" s="4">
        <v>479050.5</v>
      </c>
      <c r="N71" s="4">
        <v>53651.11</v>
      </c>
    </row>
    <row r="72" spans="1:14">
      <c r="A72" s="4" t="s">
        <v>39</v>
      </c>
      <c r="B72" s="7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</v>
      </c>
      <c r="H72" s="4">
        <v>7</v>
      </c>
      <c r="I72" s="4">
        <v>99</v>
      </c>
      <c r="J72" s="4">
        <v>1.43</v>
      </c>
      <c r="K72" s="4">
        <v>0</v>
      </c>
      <c r="L72" s="4">
        <v>3.2</v>
      </c>
      <c r="M72" s="4">
        <v>605023.87</v>
      </c>
      <c r="N72" s="4">
        <v>98545.81</v>
      </c>
    </row>
    <row r="73" spans="1:14">
      <c r="A73" s="4" t="s">
        <v>39</v>
      </c>
      <c r="B73" s="7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0.036</v>
      </c>
      <c r="H73" s="4">
        <v>12</v>
      </c>
      <c r="I73" s="4">
        <v>88</v>
      </c>
      <c r="J73" s="4"/>
      <c r="K73" s="4">
        <v>0</v>
      </c>
      <c r="L73" s="4">
        <v>3.5</v>
      </c>
      <c r="M73" s="4">
        <v>674774.09</v>
      </c>
      <c r="N73" s="4">
        <v>141917.59</v>
      </c>
    </row>
    <row r="74" spans="1:14">
      <c r="A74" s="4" t="s">
        <v>40</v>
      </c>
      <c r="B74" s="7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</v>
      </c>
      <c r="H74" s="4">
        <v>13</v>
      </c>
      <c r="I74" s="4">
        <v>78.8</v>
      </c>
      <c r="J74" s="4">
        <v>4.91</v>
      </c>
      <c r="K74" s="4">
        <v>0</v>
      </c>
      <c r="L74" s="4">
        <v>4.5</v>
      </c>
      <c r="M74" s="4">
        <v>616069.41</v>
      </c>
      <c r="N74" s="4">
        <v>54453.99</v>
      </c>
    </row>
    <row r="75" spans="1:14">
      <c r="A75" s="4" t="s">
        <v>40</v>
      </c>
      <c r="B75" s="7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0.066</v>
      </c>
      <c r="H75" s="4">
        <v>19</v>
      </c>
      <c r="I75" s="4">
        <v>94.6</v>
      </c>
      <c r="J75" s="4">
        <v>7.03</v>
      </c>
      <c r="K75" s="4">
        <v>0</v>
      </c>
      <c r="L75" s="4">
        <v>4.4</v>
      </c>
      <c r="M75" s="4">
        <v>630829.94</v>
      </c>
      <c r="N75" s="4">
        <v>117090.02</v>
      </c>
    </row>
    <row r="76" spans="1:14">
      <c r="A76" s="4" t="s">
        <v>40</v>
      </c>
      <c r="B76" s="7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0.178</v>
      </c>
      <c r="H76" s="4">
        <v>20</v>
      </c>
      <c r="I76" s="4">
        <v>93.1</v>
      </c>
      <c r="J76" s="4">
        <v>0.28</v>
      </c>
      <c r="K76" s="4">
        <v>1</v>
      </c>
      <c r="L76" s="4">
        <v>4.3</v>
      </c>
      <c r="M76" s="4">
        <v>788087.68</v>
      </c>
      <c r="N76" s="4">
        <v>116803.42</v>
      </c>
    </row>
    <row r="77" spans="1:14">
      <c r="A77" s="4" t="s">
        <v>40</v>
      </c>
      <c r="B77" s="7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</v>
      </c>
      <c r="H77" s="4">
        <v>20</v>
      </c>
      <c r="I77" s="4">
        <v>85.2</v>
      </c>
      <c r="J77" s="4">
        <v>3.61</v>
      </c>
      <c r="K77" s="4">
        <v>0</v>
      </c>
      <c r="L77" s="4">
        <v>4.5</v>
      </c>
      <c r="M77" s="4">
        <v>680840.36</v>
      </c>
      <c r="N77" s="4">
        <v>68007.68</v>
      </c>
    </row>
    <row r="78" spans="1:14">
      <c r="A78" s="4" t="s">
        <v>41</v>
      </c>
      <c r="B78" s="7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 s="4">
        <v>3.2</v>
      </c>
      <c r="M78" s="4">
        <v>643657.47</v>
      </c>
      <c r="N78" s="4">
        <v>87022.45</v>
      </c>
    </row>
    <row r="79" spans="1:14">
      <c r="A79" s="4" t="s">
        <v>41</v>
      </c>
      <c r="B79" s="7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0.064</v>
      </c>
      <c r="H79" s="4">
        <v>12</v>
      </c>
      <c r="I79" s="4">
        <v>85.4</v>
      </c>
      <c r="J79" s="4">
        <v>2.58</v>
      </c>
      <c r="K79" s="4">
        <v>0</v>
      </c>
      <c r="L79" s="4">
        <v>2.9</v>
      </c>
      <c r="M79" s="4">
        <v>691112.6</v>
      </c>
      <c r="N79" s="4">
        <v>109212.83</v>
      </c>
    </row>
    <row r="80" spans="1:14">
      <c r="A80" s="4" t="s">
        <v>41</v>
      </c>
      <c r="B80" s="7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0.172</v>
      </c>
      <c r="H80" s="4">
        <v>16</v>
      </c>
      <c r="I80" s="4">
        <v>83.5</v>
      </c>
      <c r="J80" s="4">
        <v>2.29</v>
      </c>
      <c r="K80" s="4">
        <v>0</v>
      </c>
      <c r="L80" s="4">
        <v>3.3</v>
      </c>
      <c r="M80" s="4">
        <v>776922.17</v>
      </c>
      <c r="N80" s="4">
        <v>150701.93</v>
      </c>
    </row>
    <row r="81" spans="1:14">
      <c r="A81" s="4" t="s">
        <v>41</v>
      </c>
      <c r="B81" s="7">
        <v>45748</v>
      </c>
      <c r="C81" s="4" t="s">
        <v>24</v>
      </c>
      <c r="D81" s="4" t="s">
        <v>18</v>
      </c>
      <c r="E81" s="4">
        <v>77999.9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 s="4">
        <v>3.2</v>
      </c>
      <c r="M81" s="4">
        <v>636561.34</v>
      </c>
      <c r="N81" s="4">
        <v>93861.06</v>
      </c>
    </row>
    <row r="82" spans="1:14">
      <c r="A82" s="4" t="s">
        <v>42</v>
      </c>
      <c r="B82" s="7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0.179</v>
      </c>
      <c r="H82" s="4">
        <v>15</v>
      </c>
      <c r="I82" s="4">
        <v>83.9</v>
      </c>
      <c r="J82" s="4">
        <v>5.24</v>
      </c>
      <c r="K82" s="4">
        <v>0</v>
      </c>
      <c r="L82" s="4">
        <v>4.6</v>
      </c>
      <c r="M82" s="4">
        <v>621369.58</v>
      </c>
      <c r="N82" s="4">
        <v>85493.64</v>
      </c>
    </row>
    <row r="83" spans="1:14">
      <c r="A83" s="4" t="s">
        <v>42</v>
      </c>
      <c r="B83" s="7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0.095</v>
      </c>
      <c r="H83" s="4">
        <v>10</v>
      </c>
      <c r="I83" s="4">
        <v>89.6</v>
      </c>
      <c r="J83" s="4">
        <v>3.17</v>
      </c>
      <c r="K83" s="4">
        <v>0</v>
      </c>
      <c r="L83" s="4">
        <v>4.6</v>
      </c>
      <c r="M83" s="4">
        <v>682208.01</v>
      </c>
      <c r="N83" s="4">
        <v>110318.84</v>
      </c>
    </row>
    <row r="84" spans="1:14">
      <c r="A84" s="4" t="s">
        <v>42</v>
      </c>
      <c r="B84" s="7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0.084</v>
      </c>
      <c r="H84" s="4">
        <v>15</v>
      </c>
      <c r="I84" s="4">
        <v>87.1</v>
      </c>
      <c r="J84" s="4">
        <v>2.66</v>
      </c>
      <c r="K84" s="4">
        <v>0</v>
      </c>
      <c r="L84" s="4">
        <v>4.6</v>
      </c>
      <c r="M84" s="4">
        <v>727241.86</v>
      </c>
      <c r="N84" s="4">
        <v>155810.3</v>
      </c>
    </row>
    <row r="85" spans="1:14">
      <c r="A85" s="4" t="s">
        <v>42</v>
      </c>
      <c r="B85" s="7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 s="4">
        <v>4.2</v>
      </c>
      <c r="M85" s="4">
        <v>569100.78</v>
      </c>
      <c r="N85" s="4">
        <v>104808.78</v>
      </c>
    </row>
    <row r="86" spans="1:14">
      <c r="A86" s="4" t="s">
        <v>43</v>
      </c>
      <c r="B86" s="7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 s="4">
        <v>4.9</v>
      </c>
      <c r="M86" s="4">
        <v>574436.29</v>
      </c>
      <c r="N86" s="4">
        <v>80271.99</v>
      </c>
    </row>
    <row r="87" spans="1:14">
      <c r="A87" s="4" t="s">
        <v>43</v>
      </c>
      <c r="B87" s="7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0.206</v>
      </c>
      <c r="H87" s="4">
        <v>11</v>
      </c>
      <c r="I87" s="4">
        <v>91.9</v>
      </c>
      <c r="J87" s="4">
        <v>5.95</v>
      </c>
      <c r="K87" s="4">
        <v>0</v>
      </c>
      <c r="L87" s="4"/>
      <c r="M87" s="4">
        <v>611766.72</v>
      </c>
      <c r="N87" s="4">
        <v>88275.61</v>
      </c>
    </row>
    <row r="88" spans="1:14">
      <c r="A88" s="4" t="s">
        <v>43</v>
      </c>
      <c r="B88" s="7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0.059</v>
      </c>
      <c r="H88" s="4">
        <v>11</v>
      </c>
      <c r="I88" s="4">
        <v>88.5</v>
      </c>
      <c r="J88" s="4">
        <v>15.51</v>
      </c>
      <c r="K88" s="4">
        <v>0</v>
      </c>
      <c r="L88" s="4">
        <v>4.3</v>
      </c>
      <c r="M88" s="4">
        <v>614596.32</v>
      </c>
      <c r="N88" s="4">
        <v>131199.41</v>
      </c>
    </row>
    <row r="89" spans="1:14">
      <c r="A89" s="4" t="s">
        <v>43</v>
      </c>
      <c r="B89" s="7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0.145</v>
      </c>
      <c r="H89" s="4">
        <v>9</v>
      </c>
      <c r="I89" s="4">
        <v>86.4</v>
      </c>
      <c r="J89" s="4">
        <v>4.31</v>
      </c>
      <c r="K89" s="4">
        <v>0</v>
      </c>
      <c r="L89" s="4">
        <v>4.6</v>
      </c>
      <c r="M89" s="4">
        <v>450711.92</v>
      </c>
      <c r="N89" s="4">
        <v>90043.76</v>
      </c>
    </row>
    <row r="90" spans="1:14">
      <c r="A90" s="4" t="s">
        <v>44</v>
      </c>
      <c r="B90" s="7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0.029</v>
      </c>
      <c r="H90" s="4">
        <v>18</v>
      </c>
      <c r="I90" s="4">
        <v>79.2</v>
      </c>
      <c r="J90" s="4">
        <v>6.61</v>
      </c>
      <c r="K90" s="4">
        <v>1</v>
      </c>
      <c r="L90" s="4">
        <v>4.1</v>
      </c>
      <c r="M90" s="4">
        <v>711213.46</v>
      </c>
      <c r="N90" s="4">
        <v>105863.26</v>
      </c>
    </row>
    <row r="91" spans="1:14">
      <c r="A91" s="4" t="s">
        <v>44</v>
      </c>
      <c r="B91" s="7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0.013</v>
      </c>
      <c r="H91" s="4">
        <v>12</v>
      </c>
      <c r="I91" s="4">
        <v>87</v>
      </c>
      <c r="J91" s="4">
        <v>4.26</v>
      </c>
      <c r="K91" s="4">
        <v>0</v>
      </c>
      <c r="L91" s="4">
        <v>4.5</v>
      </c>
      <c r="M91" s="4">
        <v>627171.9</v>
      </c>
      <c r="N91" s="4">
        <v>105772.75</v>
      </c>
    </row>
    <row r="92" spans="1:14">
      <c r="A92" s="4" t="s">
        <v>44</v>
      </c>
      <c r="B92" s="7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 s="4">
        <v>4.7</v>
      </c>
      <c r="M92" s="4">
        <v>739852.58</v>
      </c>
      <c r="N92" s="4">
        <v>129386.43</v>
      </c>
    </row>
    <row r="93" spans="1:14">
      <c r="A93" s="4" t="s">
        <v>44</v>
      </c>
      <c r="B93" s="7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0.043</v>
      </c>
      <c r="H93" s="4">
        <v>11</v>
      </c>
      <c r="I93" s="4">
        <v>84.7</v>
      </c>
      <c r="J93" s="4">
        <v>0.33</v>
      </c>
      <c r="K93" s="4">
        <v>0</v>
      </c>
      <c r="L93" s="4">
        <v>4.3</v>
      </c>
      <c r="M93" s="4">
        <v>586307.22</v>
      </c>
      <c r="N93" s="4">
        <v>73927.85</v>
      </c>
    </row>
    <row r="94" spans="1:14">
      <c r="A94" s="4" t="s">
        <v>45</v>
      </c>
      <c r="B94" s="7">
        <v>45658</v>
      </c>
      <c r="C94" s="4" t="s">
        <v>27</v>
      </c>
      <c r="D94" s="4" t="s">
        <v>16</v>
      </c>
      <c r="E94" s="4">
        <v>38966.59</v>
      </c>
      <c r="F94" s="4">
        <v>4509</v>
      </c>
      <c r="G94" s="4">
        <v>0.194</v>
      </c>
      <c r="H94" s="4">
        <v>14</v>
      </c>
      <c r="I94" s="4">
        <v>91.1</v>
      </c>
      <c r="J94" s="4">
        <v>2.92</v>
      </c>
      <c r="K94" s="4">
        <v>0</v>
      </c>
      <c r="L94" s="4">
        <v>4.6</v>
      </c>
      <c r="M94" s="4">
        <v>585937.48</v>
      </c>
      <c r="N94" s="4">
        <v>82624.2</v>
      </c>
    </row>
    <row r="95" spans="1:14">
      <c r="A95" s="4" t="s">
        <v>45</v>
      </c>
      <c r="B95" s="7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 s="4">
        <v>4.5</v>
      </c>
      <c r="M95" s="4">
        <v>753473.55</v>
      </c>
      <c r="N95" s="4">
        <v>151527.22</v>
      </c>
    </row>
    <row r="96" spans="1:14">
      <c r="A96" s="4" t="s">
        <v>45</v>
      </c>
      <c r="B96" s="7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0.073</v>
      </c>
      <c r="H96" s="4">
        <v>17</v>
      </c>
      <c r="I96" s="4">
        <v>91.3</v>
      </c>
      <c r="J96" s="4">
        <v>0.8</v>
      </c>
      <c r="K96" s="4">
        <v>0</v>
      </c>
      <c r="L96" s="4">
        <v>5</v>
      </c>
      <c r="M96" s="4">
        <v>838250.32</v>
      </c>
      <c r="N96" s="4">
        <v>122939.34</v>
      </c>
    </row>
    <row r="97" spans="1:14">
      <c r="A97" s="4" t="s">
        <v>45</v>
      </c>
      <c r="B97" s="7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0.074</v>
      </c>
      <c r="H97" s="4">
        <v>15</v>
      </c>
      <c r="I97" s="4">
        <v>94.1</v>
      </c>
      <c r="J97" s="4">
        <v>5.79</v>
      </c>
      <c r="K97" s="4">
        <v>0</v>
      </c>
      <c r="L97" s="4">
        <v>4.5</v>
      </c>
      <c r="M97" s="4">
        <v>607898.12</v>
      </c>
      <c r="N97" s="4">
        <v>135404.85</v>
      </c>
    </row>
    <row r="98" spans="1:14">
      <c r="A98" s="4" t="s">
        <v>46</v>
      </c>
      <c r="B98" s="7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</v>
      </c>
      <c r="H98" s="4">
        <v>19</v>
      </c>
      <c r="I98" s="4">
        <v>91</v>
      </c>
      <c r="J98" s="4">
        <v>19.6</v>
      </c>
      <c r="K98" s="4">
        <v>0</v>
      </c>
      <c r="L98" s="4">
        <v>4.4</v>
      </c>
      <c r="M98" s="4">
        <v>691113.62</v>
      </c>
      <c r="N98" s="4">
        <v>135145.44</v>
      </c>
    </row>
    <row r="99" spans="1:14">
      <c r="A99" s="4" t="s">
        <v>46</v>
      </c>
      <c r="B99" s="7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</v>
      </c>
      <c r="H99" s="4">
        <v>13</v>
      </c>
      <c r="I99" s="4">
        <v>85.8</v>
      </c>
      <c r="J99" s="4">
        <v>7.57</v>
      </c>
      <c r="K99" s="4">
        <v>0</v>
      </c>
      <c r="L99" s="4">
        <v>4.3</v>
      </c>
      <c r="M99" s="4">
        <v>735509.4</v>
      </c>
      <c r="N99" s="4">
        <v>83895.96</v>
      </c>
    </row>
    <row r="100" spans="1:14">
      <c r="A100" s="4" t="s">
        <v>46</v>
      </c>
      <c r="B100" s="7">
        <v>45717</v>
      </c>
      <c r="C100" s="4" t="s">
        <v>27</v>
      </c>
      <c r="D100" s="4" t="s">
        <v>28</v>
      </c>
      <c r="E100" s="4">
        <v>38752.8</v>
      </c>
      <c r="F100" s="4">
        <v>4712</v>
      </c>
      <c r="G100" s="4">
        <v>0.075</v>
      </c>
      <c r="H100" s="4">
        <v>15</v>
      </c>
      <c r="I100" s="4">
        <v>89.7</v>
      </c>
      <c r="J100" s="4"/>
      <c r="K100" s="4">
        <v>0</v>
      </c>
      <c r="L100" s="4">
        <v>4.3</v>
      </c>
      <c r="M100" s="4">
        <v>605775.33</v>
      </c>
      <c r="N100" s="4">
        <v>107194.6</v>
      </c>
    </row>
    <row r="101" spans="1:14">
      <c r="A101" s="4" t="s">
        <v>46</v>
      </c>
      <c r="B101" s="7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 s="4">
        <v>4.4</v>
      </c>
      <c r="M101" s="4">
        <v>675177.68</v>
      </c>
      <c r="N101" s="4">
        <v>105628.68</v>
      </c>
    </row>
    <row r="102" spans="1:14">
      <c r="A102" s="4" t="s">
        <v>47</v>
      </c>
      <c r="B102" s="7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 s="4">
        <v>4.4</v>
      </c>
      <c r="M102" s="4">
        <v>635181.35</v>
      </c>
      <c r="N102" s="4">
        <v>83341.25</v>
      </c>
    </row>
    <row r="103" spans="1:14">
      <c r="A103" s="4" t="s">
        <v>47</v>
      </c>
      <c r="B103" s="7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0.173</v>
      </c>
      <c r="H103" s="4">
        <v>14</v>
      </c>
      <c r="I103" s="4">
        <v>90.4</v>
      </c>
      <c r="J103" s="4">
        <v>7.87</v>
      </c>
      <c r="K103" s="4">
        <v>0</v>
      </c>
      <c r="L103" s="4">
        <v>4.7</v>
      </c>
      <c r="M103" s="4">
        <v>586626.94</v>
      </c>
      <c r="N103" s="4">
        <v>86498.55</v>
      </c>
    </row>
    <row r="104" spans="1:14">
      <c r="A104" s="4" t="s">
        <v>47</v>
      </c>
      <c r="B104" s="7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 s="4">
        <v>4.4</v>
      </c>
      <c r="M104" s="4">
        <v>740102.64</v>
      </c>
      <c r="N104" s="4">
        <v>114299.07</v>
      </c>
    </row>
    <row r="105" spans="1:14">
      <c r="A105" s="4" t="s">
        <v>47</v>
      </c>
      <c r="B105" s="7">
        <v>45748</v>
      </c>
      <c r="C105" s="4" t="s">
        <v>15</v>
      </c>
      <c r="D105" s="4" t="s">
        <v>28</v>
      </c>
      <c r="E105" s="4">
        <v>32266.64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 s="4">
        <v>5</v>
      </c>
      <c r="M105" s="4">
        <v>625514.04</v>
      </c>
      <c r="N105" s="4">
        <v>120685.08</v>
      </c>
    </row>
    <row r="106" spans="1:14">
      <c r="A106" s="4" t="s">
        <v>48</v>
      </c>
      <c r="B106" s="7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0.103</v>
      </c>
      <c r="H106" s="4">
        <v>21</v>
      </c>
      <c r="I106" s="4">
        <v>82.3</v>
      </c>
      <c r="J106" s="4">
        <v>2.87</v>
      </c>
      <c r="K106" s="4">
        <v>0</v>
      </c>
      <c r="L106" s="4">
        <v>2.9</v>
      </c>
      <c r="M106" s="4">
        <v>727227.2</v>
      </c>
      <c r="N106" s="4">
        <v>121292.01</v>
      </c>
    </row>
    <row r="107" spans="1:14">
      <c r="A107" s="4" t="s">
        <v>48</v>
      </c>
      <c r="B107" s="7">
        <v>45689</v>
      </c>
      <c r="C107" s="4" t="s">
        <v>27</v>
      </c>
      <c r="D107" s="4" t="s">
        <v>18</v>
      </c>
      <c r="E107" s="4">
        <v>74679.35</v>
      </c>
      <c r="F107" s="4">
        <v>8739</v>
      </c>
      <c r="G107" s="4">
        <v>0.056</v>
      </c>
      <c r="H107" s="4">
        <v>21</v>
      </c>
      <c r="I107" s="4">
        <v>91.8</v>
      </c>
      <c r="J107" s="4">
        <v>2.83</v>
      </c>
      <c r="K107" s="4">
        <v>0</v>
      </c>
      <c r="L107" s="4">
        <v>3</v>
      </c>
      <c r="M107" s="4">
        <v>783797.89</v>
      </c>
      <c r="N107" s="4">
        <v>157620.7</v>
      </c>
    </row>
    <row r="108" spans="1:14">
      <c r="A108" s="4" t="s">
        <v>48</v>
      </c>
      <c r="B108" s="7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</v>
      </c>
      <c r="H108" s="4">
        <v>14</v>
      </c>
      <c r="I108" s="4">
        <v>94.1</v>
      </c>
      <c r="J108" s="4">
        <v>0.25</v>
      </c>
      <c r="K108" s="4">
        <v>0</v>
      </c>
      <c r="L108" s="4">
        <v>3</v>
      </c>
      <c r="M108" s="4">
        <v>795153.84</v>
      </c>
      <c r="N108" s="4">
        <v>143194.21</v>
      </c>
    </row>
    <row r="109" spans="1:14">
      <c r="A109" s="4" t="s">
        <v>48</v>
      </c>
      <c r="B109" s="7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0.051</v>
      </c>
      <c r="H109" s="4">
        <v>15</v>
      </c>
      <c r="I109" s="4">
        <v>87</v>
      </c>
      <c r="J109" s="4">
        <v>13.33</v>
      </c>
      <c r="K109" s="4">
        <v>0</v>
      </c>
      <c r="L109" s="4">
        <v>3.2</v>
      </c>
      <c r="M109" s="4">
        <v>665594.94</v>
      </c>
      <c r="N109" s="4">
        <v>127597.34</v>
      </c>
    </row>
    <row r="110" spans="1:14">
      <c r="A110" s="4" t="s">
        <v>49</v>
      </c>
      <c r="B110" s="7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 s="4">
        <v>3.8</v>
      </c>
      <c r="M110" s="4">
        <v>709478.39</v>
      </c>
      <c r="N110" s="4">
        <v>71294.27</v>
      </c>
    </row>
    <row r="111" spans="1:14">
      <c r="A111" s="4" t="s">
        <v>49</v>
      </c>
      <c r="B111" s="7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0.292</v>
      </c>
      <c r="H111" s="4">
        <v>13</v>
      </c>
      <c r="I111" s="4">
        <v>86.5</v>
      </c>
      <c r="J111" s="4">
        <v>6.69</v>
      </c>
      <c r="K111" s="4">
        <v>0</v>
      </c>
      <c r="L111" s="4">
        <v>3.8</v>
      </c>
      <c r="M111" s="4">
        <v>664162.49</v>
      </c>
      <c r="N111" s="4">
        <v>98291.06</v>
      </c>
    </row>
    <row r="112" spans="1:14">
      <c r="A112" s="4" t="s">
        <v>49</v>
      </c>
      <c r="B112" s="7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0.089</v>
      </c>
      <c r="H112" s="4">
        <v>13</v>
      </c>
      <c r="I112" s="4">
        <v>89.9</v>
      </c>
      <c r="J112" s="4">
        <v>1.28</v>
      </c>
      <c r="K112" s="4">
        <v>0</v>
      </c>
      <c r="L112" s="4">
        <v>4.2</v>
      </c>
      <c r="M112" s="4">
        <v>633494.21</v>
      </c>
      <c r="N112" s="4">
        <v>105739.47</v>
      </c>
    </row>
    <row r="113" spans="1:14">
      <c r="A113" s="4" t="s">
        <v>49</v>
      </c>
      <c r="B113" s="7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0.057</v>
      </c>
      <c r="H113" s="4">
        <v>12</v>
      </c>
      <c r="I113" s="4">
        <v>91.7</v>
      </c>
      <c r="J113" s="4">
        <v>0.92</v>
      </c>
      <c r="K113" s="4">
        <v>0</v>
      </c>
      <c r="L113" s="4">
        <v>3.5</v>
      </c>
      <c r="M113" s="4">
        <v>713611.16</v>
      </c>
      <c r="N113" s="4">
        <v>129717.18</v>
      </c>
    </row>
    <row r="114" spans="1:14">
      <c r="A114" s="4" t="s">
        <v>50</v>
      </c>
      <c r="B114" s="7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0.173</v>
      </c>
      <c r="H114" s="4">
        <v>22</v>
      </c>
      <c r="I114" s="4">
        <v>76.4</v>
      </c>
      <c r="J114" s="4">
        <v>1.05</v>
      </c>
      <c r="K114" s="4">
        <v>0</v>
      </c>
      <c r="L114" s="4">
        <v>3.1</v>
      </c>
      <c r="M114" s="4">
        <v>778397.97</v>
      </c>
      <c r="N114" s="4">
        <v>120044.41</v>
      </c>
    </row>
    <row r="115" spans="1:14">
      <c r="A115" s="4" t="s">
        <v>50</v>
      </c>
      <c r="B115" s="7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0.142</v>
      </c>
      <c r="H115" s="4">
        <v>22</v>
      </c>
      <c r="I115" s="4">
        <v>94.3</v>
      </c>
      <c r="J115" s="4">
        <v>2.67</v>
      </c>
      <c r="K115" s="4">
        <v>0</v>
      </c>
      <c r="L115" s="4">
        <v>3.5</v>
      </c>
      <c r="M115" s="4">
        <v>873380.02</v>
      </c>
      <c r="N115" s="4">
        <v>149734.76</v>
      </c>
    </row>
    <row r="116" spans="1:14">
      <c r="A116" s="4" t="s">
        <v>50</v>
      </c>
      <c r="B116" s="7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 s="4">
        <v>2.8</v>
      </c>
      <c r="M116" s="4">
        <v>697287.9</v>
      </c>
      <c r="N116" s="4">
        <v>128208.33</v>
      </c>
    </row>
    <row r="117" spans="1:14">
      <c r="A117" s="4" t="s">
        <v>50</v>
      </c>
      <c r="B117" s="7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</v>
      </c>
      <c r="H117" s="4">
        <v>23</v>
      </c>
      <c r="I117" s="4">
        <v>92.5</v>
      </c>
      <c r="J117" s="4">
        <v>6.37</v>
      </c>
      <c r="K117" s="4">
        <v>0</v>
      </c>
      <c r="L117" s="4">
        <v>3.3</v>
      </c>
      <c r="M117" s="4">
        <v>718074.79</v>
      </c>
      <c r="N117" s="4">
        <v>115819.87</v>
      </c>
    </row>
    <row r="118" spans="1:14">
      <c r="A118" s="4" t="s">
        <v>51</v>
      </c>
      <c r="B118" s="7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</v>
      </c>
      <c r="K118" s="4">
        <v>1</v>
      </c>
      <c r="L118" s="4">
        <v>4.7</v>
      </c>
      <c r="M118" s="4">
        <v>714942.43</v>
      </c>
      <c r="N118" s="4">
        <v>94697.71</v>
      </c>
    </row>
    <row r="119" spans="1:14">
      <c r="A119" s="4" t="s">
        <v>51</v>
      </c>
      <c r="B119" s="7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 s="4">
        <v>4.7</v>
      </c>
      <c r="M119" s="4">
        <v>820519.04</v>
      </c>
      <c r="N119" s="4">
        <v>99035.88</v>
      </c>
    </row>
    <row r="120" spans="1:14">
      <c r="A120" s="4" t="s">
        <v>51</v>
      </c>
      <c r="B120" s="7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</v>
      </c>
      <c r="H120" s="4">
        <v>18</v>
      </c>
      <c r="I120" s="4">
        <v>96.8</v>
      </c>
      <c r="J120" s="4">
        <v>14.95</v>
      </c>
      <c r="K120" s="4">
        <v>0</v>
      </c>
      <c r="L120" s="4">
        <v>4.6</v>
      </c>
      <c r="M120" s="4">
        <v>684217.32</v>
      </c>
      <c r="N120" s="4">
        <v>136217.19</v>
      </c>
    </row>
    <row r="121" spans="1:14">
      <c r="A121" s="4" t="s">
        <v>51</v>
      </c>
      <c r="B121" s="7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</v>
      </c>
      <c r="H121" s="4">
        <v>19</v>
      </c>
      <c r="I121" s="4">
        <v>95.7</v>
      </c>
      <c r="J121" s="4">
        <v>7.85</v>
      </c>
      <c r="K121" s="4">
        <v>0</v>
      </c>
      <c r="L121" s="4">
        <v>4.7</v>
      </c>
      <c r="M121" s="4">
        <v>735480.19</v>
      </c>
      <c r="N121" s="4">
        <v>88342.11</v>
      </c>
    </row>
    <row r="122" spans="1:14">
      <c r="A122" s="4" t="s">
        <v>52</v>
      </c>
      <c r="B122" s="7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0.088</v>
      </c>
      <c r="H122" s="4">
        <v>13</v>
      </c>
      <c r="I122" s="4">
        <v>83</v>
      </c>
      <c r="J122" s="4">
        <v>6.8</v>
      </c>
      <c r="K122" s="4">
        <v>0</v>
      </c>
      <c r="L122" s="4">
        <v>4.4</v>
      </c>
      <c r="M122" s="4">
        <v>509484.81</v>
      </c>
      <c r="N122" s="4">
        <v>85742.36</v>
      </c>
    </row>
    <row r="123" spans="1:14">
      <c r="A123" s="4" t="s">
        <v>52</v>
      </c>
      <c r="B123" s="7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</v>
      </c>
      <c r="K123" s="4">
        <v>0</v>
      </c>
      <c r="L123" s="4">
        <v>3.7</v>
      </c>
      <c r="M123" s="4">
        <v>654317.09</v>
      </c>
      <c r="N123" s="4">
        <v>121446.89</v>
      </c>
    </row>
    <row r="124" spans="1:14">
      <c r="A124" s="4" t="s">
        <v>52</v>
      </c>
      <c r="B124" s="7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0.069</v>
      </c>
      <c r="H124" s="4">
        <v>15</v>
      </c>
      <c r="I124" s="4">
        <v>85.7</v>
      </c>
      <c r="J124" s="4">
        <v>1.88</v>
      </c>
      <c r="K124" s="4">
        <v>0</v>
      </c>
      <c r="L124" s="4">
        <v>3.9</v>
      </c>
      <c r="M124" s="4">
        <v>557487.26</v>
      </c>
      <c r="N124" s="4">
        <v>76432.19</v>
      </c>
    </row>
    <row r="125" spans="1:14">
      <c r="A125" s="4" t="s">
        <v>52</v>
      </c>
      <c r="B125" s="7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 s="4">
        <v>4.4</v>
      </c>
      <c r="M125" s="4">
        <v>441275.42</v>
      </c>
      <c r="N125" s="4">
        <v>58234.87</v>
      </c>
    </row>
    <row r="126" spans="1:14">
      <c r="A126" s="4" t="s">
        <v>53</v>
      </c>
      <c r="B126" s="7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 s="4">
        <v>4.8</v>
      </c>
      <c r="M126" s="4">
        <v>914544.17</v>
      </c>
      <c r="N126" s="4">
        <v>79831.73</v>
      </c>
    </row>
    <row r="127" spans="1:14">
      <c r="A127" s="4" t="s">
        <v>53</v>
      </c>
      <c r="B127" s="7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0.176</v>
      </c>
      <c r="H127" s="4">
        <v>27</v>
      </c>
      <c r="I127" s="4">
        <v>98.3</v>
      </c>
      <c r="J127" s="4">
        <v>0.54</v>
      </c>
      <c r="K127" s="4">
        <v>0</v>
      </c>
      <c r="L127" s="4">
        <v>4.4</v>
      </c>
      <c r="M127" s="4">
        <v>842439.67</v>
      </c>
      <c r="N127" s="4">
        <v>169983.63</v>
      </c>
    </row>
    <row r="128" spans="1:14">
      <c r="A128" s="4" t="s">
        <v>53</v>
      </c>
      <c r="B128" s="7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0.204</v>
      </c>
      <c r="H128" s="4">
        <v>20</v>
      </c>
      <c r="I128" s="4">
        <v>88.2</v>
      </c>
      <c r="J128" s="4">
        <v>5.37</v>
      </c>
      <c r="K128" s="4">
        <v>1</v>
      </c>
      <c r="L128" s="4">
        <v>4.9</v>
      </c>
      <c r="M128" s="4">
        <v>842157.92</v>
      </c>
      <c r="N128" s="4">
        <v>107348.22</v>
      </c>
    </row>
    <row r="129" spans="1:14">
      <c r="A129" s="4" t="s">
        <v>53</v>
      </c>
      <c r="B129" s="7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0.096</v>
      </c>
      <c r="H129" s="4">
        <v>19</v>
      </c>
      <c r="I129" s="4">
        <v>81.5</v>
      </c>
      <c r="J129" s="4">
        <v>3.19</v>
      </c>
      <c r="K129" s="4">
        <v>0</v>
      </c>
      <c r="L129" s="4">
        <v>4.8</v>
      </c>
      <c r="M129" s="4">
        <v>697155.3</v>
      </c>
      <c r="N129" s="4">
        <v>136408.54</v>
      </c>
    </row>
    <row r="130" spans="1:14">
      <c r="A130" s="4" t="s">
        <v>54</v>
      </c>
      <c r="B130" s="7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0.142</v>
      </c>
      <c r="H130" s="4">
        <v>27</v>
      </c>
      <c r="I130" s="4">
        <v>88.3</v>
      </c>
      <c r="J130" s="4">
        <v>1.1</v>
      </c>
      <c r="K130" s="4">
        <v>1</v>
      </c>
      <c r="L130" s="4">
        <v>4.4</v>
      </c>
      <c r="M130" s="4">
        <v>849018.3</v>
      </c>
      <c r="N130" s="4">
        <v>149035.13</v>
      </c>
    </row>
    <row r="131" spans="1:14">
      <c r="A131" s="4" t="s">
        <v>54</v>
      </c>
      <c r="B131" s="7">
        <v>45689</v>
      </c>
      <c r="C131" s="4" t="s">
        <v>15</v>
      </c>
      <c r="D131" s="4" t="s">
        <v>18</v>
      </c>
      <c r="E131" s="4">
        <v>68410.93</v>
      </c>
      <c r="F131" s="4">
        <v>10596</v>
      </c>
      <c r="G131" s="4">
        <v>0.207</v>
      </c>
      <c r="H131" s="4">
        <v>25</v>
      </c>
      <c r="I131" s="4">
        <v>81.2</v>
      </c>
      <c r="J131" s="4">
        <v>0.21</v>
      </c>
      <c r="K131" s="4">
        <v>0</v>
      </c>
      <c r="L131" s="4">
        <v>4</v>
      </c>
      <c r="M131" s="4">
        <v>801830.35</v>
      </c>
      <c r="N131" s="4">
        <v>114875.32</v>
      </c>
    </row>
    <row r="132" spans="1:14">
      <c r="A132" s="4" t="s">
        <v>54</v>
      </c>
      <c r="B132" s="7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0.144</v>
      </c>
      <c r="H132" s="4">
        <v>19</v>
      </c>
      <c r="I132" s="4">
        <v>93.8</v>
      </c>
      <c r="J132" s="4">
        <v>5.12</v>
      </c>
      <c r="K132" s="4">
        <v>1</v>
      </c>
      <c r="L132" s="4">
        <v>4.5</v>
      </c>
      <c r="M132" s="4">
        <v>725235.28</v>
      </c>
      <c r="N132" s="4">
        <v>121632.24</v>
      </c>
    </row>
    <row r="133" spans="1:14">
      <c r="A133" s="4" t="s">
        <v>54</v>
      </c>
      <c r="B133" s="7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0.089</v>
      </c>
      <c r="H133" s="4">
        <v>25</v>
      </c>
      <c r="I133" s="4">
        <v>85</v>
      </c>
      <c r="J133" s="4">
        <v>9.77</v>
      </c>
      <c r="K133" s="4">
        <v>0</v>
      </c>
      <c r="L133" s="4">
        <v>4.5</v>
      </c>
      <c r="M133" s="4">
        <v>811452.72</v>
      </c>
      <c r="N133" s="4">
        <v>131325.67</v>
      </c>
    </row>
    <row r="134" spans="1:14">
      <c r="A134" s="4" t="s">
        <v>55</v>
      </c>
      <c r="B134" s="7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0.079</v>
      </c>
      <c r="H134" s="4">
        <v>9</v>
      </c>
      <c r="I134" s="4">
        <v>87.9</v>
      </c>
      <c r="J134" s="4">
        <v>3.77</v>
      </c>
      <c r="K134" s="4">
        <v>0</v>
      </c>
      <c r="L134" s="4">
        <v>4.4</v>
      </c>
      <c r="M134" s="4">
        <v>527300.13</v>
      </c>
      <c r="N134" s="4">
        <v>84197.87</v>
      </c>
    </row>
    <row r="135" spans="1:14">
      <c r="A135" s="4" t="s">
        <v>55</v>
      </c>
      <c r="B135" s="7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</v>
      </c>
      <c r="H135" s="4">
        <v>8</v>
      </c>
      <c r="I135" s="4">
        <v>81.1</v>
      </c>
      <c r="J135" s="4">
        <v>0.78</v>
      </c>
      <c r="K135" s="4">
        <v>0</v>
      </c>
      <c r="L135" s="4"/>
      <c r="M135" s="4">
        <v>400831.65</v>
      </c>
      <c r="N135" s="4">
        <v>70979.31</v>
      </c>
    </row>
    <row r="136" spans="1:14">
      <c r="A136" s="4" t="s">
        <v>55</v>
      </c>
      <c r="B136" s="7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0.086</v>
      </c>
      <c r="H136" s="4">
        <v>11</v>
      </c>
      <c r="I136" s="4">
        <v>95.6</v>
      </c>
      <c r="J136" s="4">
        <v>5.17</v>
      </c>
      <c r="K136" s="4">
        <v>1</v>
      </c>
      <c r="L136" s="4">
        <v>4.4</v>
      </c>
      <c r="M136" s="4">
        <v>593247.25</v>
      </c>
      <c r="N136" s="4">
        <v>81240.29</v>
      </c>
    </row>
    <row r="137" spans="1:14">
      <c r="A137" s="4" t="s">
        <v>55</v>
      </c>
      <c r="B137" s="7">
        <v>45748</v>
      </c>
      <c r="C137" s="4" t="s">
        <v>20</v>
      </c>
      <c r="D137" s="4" t="s">
        <v>18</v>
      </c>
      <c r="E137" s="4">
        <v>70366.76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 s="4">
        <v>4.6</v>
      </c>
      <c r="M137" s="4">
        <v>529075.95</v>
      </c>
      <c r="N137" s="4">
        <v>95978.83</v>
      </c>
    </row>
    <row r="138" spans="1:14">
      <c r="A138" s="4" t="s">
        <v>56</v>
      </c>
      <c r="B138" s="7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0.048</v>
      </c>
      <c r="H138" s="4">
        <v>20</v>
      </c>
      <c r="I138" s="4">
        <v>78.1</v>
      </c>
      <c r="J138" s="4">
        <v>3.4</v>
      </c>
      <c r="K138" s="4">
        <v>0</v>
      </c>
      <c r="L138" s="4"/>
      <c r="M138" s="4">
        <v>633638.03</v>
      </c>
      <c r="N138" s="4">
        <v>99402.01</v>
      </c>
    </row>
    <row r="139" spans="1:14">
      <c r="A139" s="4" t="s">
        <v>56</v>
      </c>
      <c r="B139" s="7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0.079</v>
      </c>
      <c r="H139" s="4">
        <v>15</v>
      </c>
      <c r="I139" s="4">
        <v>96.3</v>
      </c>
      <c r="J139" s="4">
        <v>7.38</v>
      </c>
      <c r="K139" s="4">
        <v>0</v>
      </c>
      <c r="L139" s="4">
        <v>3.7</v>
      </c>
      <c r="M139" s="4">
        <v>743348.84</v>
      </c>
      <c r="N139" s="4">
        <v>104186.09</v>
      </c>
    </row>
    <row r="140" spans="1:14">
      <c r="A140" s="4" t="s">
        <v>56</v>
      </c>
      <c r="B140" s="7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 s="4">
        <v>3.3</v>
      </c>
      <c r="M140" s="4">
        <v>758827.64</v>
      </c>
      <c r="N140" s="4">
        <v>161439.48</v>
      </c>
    </row>
    <row r="141" spans="1:14">
      <c r="A141" s="4" t="s">
        <v>56</v>
      </c>
      <c r="B141" s="7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 s="4">
        <v>3.6</v>
      </c>
      <c r="M141" s="4">
        <v>646559.71</v>
      </c>
      <c r="N141" s="4">
        <v>97981.75</v>
      </c>
    </row>
    <row r="142" spans="1:14">
      <c r="A142" s="4" t="s">
        <v>57</v>
      </c>
      <c r="B142" s="7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</v>
      </c>
      <c r="H142" s="4">
        <v>14</v>
      </c>
      <c r="I142" s="4">
        <v>88.8</v>
      </c>
      <c r="J142" s="4">
        <v>0.77</v>
      </c>
      <c r="K142" s="4">
        <v>0</v>
      </c>
      <c r="L142" s="4">
        <v>4.1</v>
      </c>
      <c r="M142" s="4">
        <v>715890.53</v>
      </c>
      <c r="N142" s="4">
        <v>109032.15</v>
      </c>
    </row>
    <row r="143" spans="1:14">
      <c r="A143" s="4" t="s">
        <v>57</v>
      </c>
      <c r="B143" s="7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0.038</v>
      </c>
      <c r="H143" s="4">
        <v>15</v>
      </c>
      <c r="I143" s="4">
        <v>94.2</v>
      </c>
      <c r="J143" s="4">
        <v>2.92</v>
      </c>
      <c r="K143" s="4">
        <v>0</v>
      </c>
      <c r="L143" s="4">
        <v>4.2</v>
      </c>
      <c r="M143" s="4">
        <v>715097.57</v>
      </c>
      <c r="N143" s="4">
        <v>151875.86</v>
      </c>
    </row>
    <row r="144" spans="1:14">
      <c r="A144" s="4" t="s">
        <v>57</v>
      </c>
      <c r="B144" s="7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0.069</v>
      </c>
      <c r="H144" s="4">
        <v>18</v>
      </c>
      <c r="I144" s="4">
        <v>88.5</v>
      </c>
      <c r="J144" s="4">
        <v>3.07</v>
      </c>
      <c r="K144" s="4">
        <v>0</v>
      </c>
      <c r="L144" s="4">
        <v>3.8</v>
      </c>
      <c r="M144" s="4">
        <v>682639.28</v>
      </c>
      <c r="N144" s="4">
        <v>77557.53</v>
      </c>
    </row>
    <row r="145" spans="1:14">
      <c r="A145" s="4" t="s">
        <v>57</v>
      </c>
      <c r="B145" s="7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9.7</v>
      </c>
      <c r="K145" s="4">
        <v>0</v>
      </c>
      <c r="L145" s="4">
        <v>3.9</v>
      </c>
      <c r="M145" s="4">
        <v>695098.51</v>
      </c>
      <c r="N145" s="4">
        <v>108192.75</v>
      </c>
    </row>
    <row r="146" spans="1:14">
      <c r="A146" s="4" t="s">
        <v>58</v>
      </c>
      <c r="B146" s="7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</v>
      </c>
      <c r="H146" s="4">
        <v>12</v>
      </c>
      <c r="I146" s="4">
        <v>90.2</v>
      </c>
      <c r="J146" s="4">
        <v>3.71</v>
      </c>
      <c r="K146" s="4">
        <v>0</v>
      </c>
      <c r="L146" s="4">
        <v>3.2</v>
      </c>
      <c r="M146" s="4">
        <v>577732.57</v>
      </c>
      <c r="N146" s="4">
        <v>93804.27</v>
      </c>
    </row>
    <row r="147" spans="1:14">
      <c r="A147" s="4" t="s">
        <v>58</v>
      </c>
      <c r="B147" s="7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 s="4">
        <v>3.5</v>
      </c>
      <c r="M147" s="4">
        <v>537058.33</v>
      </c>
      <c r="N147" s="4">
        <v>93555.71</v>
      </c>
    </row>
    <row r="148" spans="1:14">
      <c r="A148" s="4" t="s">
        <v>58</v>
      </c>
      <c r="B148" s="7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 s="4">
        <v>3.4</v>
      </c>
      <c r="M148" s="4">
        <v>601568.87</v>
      </c>
      <c r="N148" s="4">
        <v>91634.82</v>
      </c>
    </row>
    <row r="149" spans="1:14">
      <c r="A149" s="4" t="s">
        <v>58</v>
      </c>
      <c r="B149" s="7">
        <v>45748</v>
      </c>
      <c r="C149" s="4" t="s">
        <v>20</v>
      </c>
      <c r="D149" s="4" t="s">
        <v>16</v>
      </c>
      <c r="E149" s="4">
        <v>60322.4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 s="4">
        <v>3.4</v>
      </c>
      <c r="M149" s="4">
        <v>570964.84</v>
      </c>
      <c r="N149" s="4">
        <v>81331.07</v>
      </c>
    </row>
    <row r="150" spans="1:14">
      <c r="A150" s="4" t="s">
        <v>59</v>
      </c>
      <c r="B150" s="7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0.047</v>
      </c>
      <c r="H150" s="4">
        <v>17</v>
      </c>
      <c r="I150" s="4">
        <v>88.1</v>
      </c>
      <c r="J150" s="4">
        <v>19.78</v>
      </c>
      <c r="K150" s="4">
        <v>0</v>
      </c>
      <c r="L150" s="4">
        <v>3.8</v>
      </c>
      <c r="M150" s="4">
        <v>614024.91</v>
      </c>
      <c r="N150" s="4">
        <v>84828.93</v>
      </c>
    </row>
    <row r="151" spans="1:14">
      <c r="A151" s="4" t="s">
        <v>59</v>
      </c>
      <c r="B151" s="7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0.044</v>
      </c>
      <c r="H151" s="4">
        <v>13</v>
      </c>
      <c r="I151" s="4">
        <v>99</v>
      </c>
      <c r="J151" s="4">
        <v>5.45</v>
      </c>
      <c r="K151" s="4">
        <v>0</v>
      </c>
      <c r="L151" s="4">
        <v>4.1</v>
      </c>
      <c r="M151" s="4">
        <v>712868.35</v>
      </c>
      <c r="N151" s="4">
        <v>133650.51</v>
      </c>
    </row>
    <row r="152" spans="1:14">
      <c r="A152" s="4" t="s">
        <v>59</v>
      </c>
      <c r="B152" s="7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 s="4">
        <v>3.7</v>
      </c>
      <c r="M152" s="4">
        <v>696744.15</v>
      </c>
      <c r="N152" s="4">
        <v>152230.09</v>
      </c>
    </row>
    <row r="153" spans="1:14">
      <c r="A153" s="4" t="s">
        <v>59</v>
      </c>
      <c r="B153" s="7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</v>
      </c>
      <c r="H153" s="4">
        <v>15</v>
      </c>
      <c r="I153" s="4">
        <v>94.3</v>
      </c>
      <c r="J153" s="4">
        <v>3.55</v>
      </c>
      <c r="K153" s="4">
        <v>0</v>
      </c>
      <c r="L153" s="4">
        <v>4.1</v>
      </c>
      <c r="M153" s="4">
        <v>725847.99</v>
      </c>
      <c r="N153" s="4">
        <v>122698.73</v>
      </c>
    </row>
    <row r="154" spans="1:14">
      <c r="A154" s="4" t="s">
        <v>60</v>
      </c>
      <c r="B154" s="7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</v>
      </c>
      <c r="H154" s="4">
        <v>21</v>
      </c>
      <c r="I154" s="4">
        <v>87.4</v>
      </c>
      <c r="J154" s="4">
        <v>0.2</v>
      </c>
      <c r="K154" s="4">
        <v>0</v>
      </c>
      <c r="L154" s="4">
        <v>4.5</v>
      </c>
      <c r="M154" s="4">
        <v>785028.25</v>
      </c>
      <c r="N154" s="4">
        <v>110726.44</v>
      </c>
    </row>
    <row r="155" spans="1:14">
      <c r="A155" s="4" t="s">
        <v>60</v>
      </c>
      <c r="B155" s="7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</v>
      </c>
      <c r="H155" s="4">
        <v>18</v>
      </c>
      <c r="I155" s="4">
        <v>87</v>
      </c>
      <c r="J155" s="4">
        <v>2.09</v>
      </c>
      <c r="K155" s="4">
        <v>0</v>
      </c>
      <c r="L155" s="4">
        <v>4.2</v>
      </c>
      <c r="M155" s="4">
        <v>698492.67</v>
      </c>
      <c r="N155" s="4">
        <v>117319.32</v>
      </c>
    </row>
    <row r="156" spans="1:14">
      <c r="A156" s="4" t="s">
        <v>60</v>
      </c>
      <c r="B156" s="7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2.26</v>
      </c>
      <c r="K156" s="4">
        <v>0</v>
      </c>
      <c r="L156" s="4">
        <v>4.2</v>
      </c>
      <c r="M156" s="4">
        <v>685830.24</v>
      </c>
      <c r="N156" s="4">
        <v>128736.18</v>
      </c>
    </row>
    <row r="157" spans="1:14">
      <c r="A157" s="4" t="s">
        <v>60</v>
      </c>
      <c r="B157" s="7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 s="4">
        <v>4.4</v>
      </c>
      <c r="M157" s="4">
        <v>702318.94</v>
      </c>
      <c r="N157" s="4">
        <v>112829.29</v>
      </c>
    </row>
    <row r="158" spans="1:14">
      <c r="A158" s="4" t="s">
        <v>61</v>
      </c>
      <c r="B158" s="7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0.057</v>
      </c>
      <c r="H158" s="4">
        <v>19</v>
      </c>
      <c r="I158" s="4">
        <v>85.2</v>
      </c>
      <c r="J158" s="4">
        <v>3.08</v>
      </c>
      <c r="K158" s="4">
        <v>0</v>
      </c>
      <c r="L158" s="4">
        <v>3.9</v>
      </c>
      <c r="M158" s="4">
        <v>700078.32</v>
      </c>
      <c r="N158" s="4">
        <v>123707.58</v>
      </c>
    </row>
    <row r="159" spans="1:14">
      <c r="A159" s="4" t="s">
        <v>61</v>
      </c>
      <c r="B159" s="7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 s="4">
        <v>3</v>
      </c>
      <c r="M159" s="4">
        <v>602002.32</v>
      </c>
      <c r="N159" s="4">
        <v>110453.28</v>
      </c>
    </row>
    <row r="160" spans="1:14">
      <c r="A160" s="4" t="s">
        <v>61</v>
      </c>
      <c r="B160" s="7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 s="4">
        <v>3.4</v>
      </c>
      <c r="M160" s="4">
        <v>724216.07</v>
      </c>
      <c r="N160" s="4">
        <v>100627.56</v>
      </c>
    </row>
    <row r="161" spans="1:14">
      <c r="A161" s="4" t="s">
        <v>61</v>
      </c>
      <c r="B161" s="7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 s="4">
        <v>3.3</v>
      </c>
      <c r="M161" s="4">
        <v>620973.03</v>
      </c>
      <c r="N161" s="4">
        <v>72303.85</v>
      </c>
    </row>
    <row r="162" spans="1:14">
      <c r="A162" s="4" t="s">
        <v>62</v>
      </c>
      <c r="B162" s="7">
        <v>45658</v>
      </c>
      <c r="C162" s="4" t="s">
        <v>24</v>
      </c>
      <c r="D162" s="4" t="s">
        <v>18</v>
      </c>
      <c r="E162" s="4">
        <v>41443.41</v>
      </c>
      <c r="F162" s="4">
        <v>7455</v>
      </c>
      <c r="G162" s="4">
        <v>0.175</v>
      </c>
      <c r="H162" s="4">
        <v>16</v>
      </c>
      <c r="I162" s="4">
        <v>90.1</v>
      </c>
      <c r="J162" s="4">
        <v>4.05</v>
      </c>
      <c r="K162" s="4">
        <v>0</v>
      </c>
      <c r="L162" s="4">
        <v>4</v>
      </c>
      <c r="M162" s="4">
        <v>650480.06</v>
      </c>
      <c r="N162" s="4">
        <v>109012.07</v>
      </c>
    </row>
    <row r="163" spans="1:14">
      <c r="A163" s="4" t="s">
        <v>62</v>
      </c>
      <c r="B163" s="7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0.034</v>
      </c>
      <c r="H163" s="4">
        <v>20</v>
      </c>
      <c r="I163" s="4">
        <v>91</v>
      </c>
      <c r="J163" s="4">
        <v>4.36</v>
      </c>
      <c r="K163" s="4">
        <v>0</v>
      </c>
      <c r="L163" s="4">
        <v>4.2</v>
      </c>
      <c r="M163" s="4">
        <v>778298.88</v>
      </c>
      <c r="N163" s="4">
        <v>130076.72</v>
      </c>
    </row>
    <row r="164" spans="1:14">
      <c r="A164" s="4" t="s">
        <v>62</v>
      </c>
      <c r="B164" s="7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72.6</v>
      </c>
      <c r="J164" s="4"/>
      <c r="K164" s="4">
        <v>0</v>
      </c>
      <c r="L164" s="4">
        <v>4.2</v>
      </c>
      <c r="M164" s="4">
        <v>677096.71</v>
      </c>
      <c r="N164" s="4">
        <v>97174.11</v>
      </c>
    </row>
    <row r="165" spans="1:14">
      <c r="A165" s="4" t="s">
        <v>62</v>
      </c>
      <c r="B165" s="7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0.075</v>
      </c>
      <c r="H165" s="4">
        <v>19</v>
      </c>
      <c r="I165" s="4">
        <v>93.8</v>
      </c>
      <c r="J165" s="4">
        <v>0.54</v>
      </c>
      <c r="K165" s="4">
        <v>0</v>
      </c>
      <c r="L165" s="4">
        <v>4.3</v>
      </c>
      <c r="M165" s="4">
        <v>692008.64</v>
      </c>
      <c r="N165" s="4">
        <v>116337.87</v>
      </c>
    </row>
    <row r="166" spans="1:14">
      <c r="A166" s="4" t="s">
        <v>63</v>
      </c>
      <c r="B166" s="7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 s="4">
        <v>4.3</v>
      </c>
      <c r="M166" s="4">
        <v>825797.91</v>
      </c>
      <c r="N166" s="4">
        <v>130945.24</v>
      </c>
    </row>
    <row r="167" spans="1:14">
      <c r="A167" s="4" t="s">
        <v>63</v>
      </c>
      <c r="B167" s="7">
        <v>45689</v>
      </c>
      <c r="C167" s="4" t="s">
        <v>20</v>
      </c>
      <c r="D167" s="4" t="s">
        <v>28</v>
      </c>
      <c r="E167" s="4">
        <v>35303.3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 s="4">
        <v>4.2</v>
      </c>
      <c r="M167" s="4">
        <v>706285.52</v>
      </c>
      <c r="N167" s="4">
        <v>138014.72</v>
      </c>
    </row>
    <row r="168" spans="1:14">
      <c r="A168" s="4" t="s">
        <v>63</v>
      </c>
      <c r="B168" s="7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 s="4">
        <v>4</v>
      </c>
      <c r="M168" s="4">
        <v>665534.7</v>
      </c>
      <c r="N168" s="4">
        <v>113167.73</v>
      </c>
    </row>
    <row r="169" spans="1:14">
      <c r="A169" s="4" t="s">
        <v>63</v>
      </c>
      <c r="B169" s="7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 s="4">
        <v>4.1</v>
      </c>
      <c r="M169" s="4">
        <v>820729.29</v>
      </c>
      <c r="N169" s="4">
        <v>159325.47</v>
      </c>
    </row>
    <row r="170" spans="1:14">
      <c r="A170" s="4" t="s">
        <v>64</v>
      </c>
      <c r="B170" s="7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</v>
      </c>
      <c r="H170" s="4">
        <v>25</v>
      </c>
      <c r="I170" s="4">
        <v>87.1</v>
      </c>
      <c r="J170" s="4">
        <v>12.55</v>
      </c>
      <c r="K170" s="4">
        <v>0</v>
      </c>
      <c r="L170" s="4">
        <v>4.9</v>
      </c>
      <c r="M170" s="4">
        <v>739831.73</v>
      </c>
      <c r="N170" s="4">
        <v>119490.21</v>
      </c>
    </row>
    <row r="171" spans="1:14">
      <c r="A171" s="4" t="s">
        <v>64</v>
      </c>
      <c r="B171" s="7">
        <v>45689</v>
      </c>
      <c r="C171" s="4" t="s">
        <v>15</v>
      </c>
      <c r="D171" s="4" t="s">
        <v>16</v>
      </c>
      <c r="E171" s="4">
        <v>32834.48</v>
      </c>
      <c r="F171" s="4">
        <v>7576</v>
      </c>
      <c r="G171" s="4">
        <v>0.099</v>
      </c>
      <c r="H171" s="4">
        <v>15</v>
      </c>
      <c r="I171" s="4">
        <v>84.1</v>
      </c>
      <c r="J171" s="4">
        <v>3.48</v>
      </c>
      <c r="K171" s="4">
        <v>0</v>
      </c>
      <c r="L171" s="4">
        <v>5</v>
      </c>
      <c r="M171" s="4">
        <v>593637.14</v>
      </c>
      <c r="N171" s="4">
        <v>106648.14</v>
      </c>
    </row>
    <row r="172" spans="1:14">
      <c r="A172" s="4" t="s">
        <v>64</v>
      </c>
      <c r="B172" s="7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 s="4">
        <v>4.9</v>
      </c>
      <c r="M172" s="4">
        <v>769702.76</v>
      </c>
      <c r="N172" s="4">
        <v>158697</v>
      </c>
    </row>
    <row r="173" spans="1:14">
      <c r="A173" s="4" t="s">
        <v>64</v>
      </c>
      <c r="B173" s="7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0.118</v>
      </c>
      <c r="H173" s="4">
        <v>18</v>
      </c>
      <c r="I173" s="4">
        <v>89.8</v>
      </c>
      <c r="J173" s="4">
        <v>0.25</v>
      </c>
      <c r="K173" s="4">
        <v>0</v>
      </c>
      <c r="L173" s="4">
        <v>4.4</v>
      </c>
      <c r="M173" s="4">
        <v>679731.57</v>
      </c>
      <c r="N173" s="4">
        <v>121546.42</v>
      </c>
    </row>
    <row r="174" spans="1:14">
      <c r="A174" s="4" t="s">
        <v>65</v>
      </c>
      <c r="B174" s="7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 s="4">
        <v>3.3</v>
      </c>
      <c r="M174" s="4">
        <v>780344.18</v>
      </c>
      <c r="N174" s="4">
        <v>118239.09</v>
      </c>
    </row>
    <row r="175" spans="1:14">
      <c r="A175" s="4" t="s">
        <v>65</v>
      </c>
      <c r="B175" s="7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 s="4">
        <v>3.1</v>
      </c>
      <c r="M175" s="4">
        <v>721364.11</v>
      </c>
      <c r="N175" s="4">
        <v>147272.81</v>
      </c>
    </row>
    <row r="176" spans="1:14">
      <c r="A176" s="4" t="s">
        <v>65</v>
      </c>
      <c r="B176" s="7">
        <v>45717</v>
      </c>
      <c r="C176" s="4" t="s">
        <v>15</v>
      </c>
      <c r="D176" s="4" t="s">
        <v>16</v>
      </c>
      <c r="E176" s="4">
        <v>68040.15</v>
      </c>
      <c r="F176" s="4">
        <v>9826</v>
      </c>
      <c r="G176" s="4">
        <v>0.125</v>
      </c>
      <c r="H176" s="4">
        <v>20</v>
      </c>
      <c r="I176" s="4">
        <v>83.9</v>
      </c>
      <c r="J176" s="4">
        <v>9.12</v>
      </c>
      <c r="K176" s="4">
        <v>0</v>
      </c>
      <c r="L176" s="4">
        <v>3.6</v>
      </c>
      <c r="M176" s="4">
        <v>758138.29</v>
      </c>
      <c r="N176" s="4">
        <v>132975.26</v>
      </c>
    </row>
    <row r="177" spans="1:14">
      <c r="A177" s="4" t="s">
        <v>65</v>
      </c>
      <c r="B177" s="7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 s="4">
        <v>3.1</v>
      </c>
      <c r="M177" s="4">
        <v>804264</v>
      </c>
      <c r="N177" s="4">
        <v>167117.91</v>
      </c>
    </row>
    <row r="178" spans="1:14">
      <c r="A178" s="4" t="s">
        <v>66</v>
      </c>
      <c r="B178" s="7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0.046</v>
      </c>
      <c r="H178" s="4">
        <v>24</v>
      </c>
      <c r="I178" s="4">
        <v>76.6</v>
      </c>
      <c r="J178" s="4">
        <v>3.65</v>
      </c>
      <c r="K178" s="4">
        <v>1</v>
      </c>
      <c r="L178" s="4">
        <v>3.7</v>
      </c>
      <c r="M178" s="4">
        <v>887537.75</v>
      </c>
      <c r="N178" s="4">
        <v>160362.92</v>
      </c>
    </row>
    <row r="179" spans="1:14">
      <c r="A179" s="4" t="s">
        <v>66</v>
      </c>
      <c r="B179" s="7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0.177</v>
      </c>
      <c r="H179" s="4">
        <v>21</v>
      </c>
      <c r="I179" s="4">
        <v>90.9</v>
      </c>
      <c r="J179" s="4">
        <v>7.86</v>
      </c>
      <c r="K179" s="4">
        <v>0</v>
      </c>
      <c r="L179" s="4">
        <v>4</v>
      </c>
      <c r="M179" s="4">
        <v>783582</v>
      </c>
      <c r="N179" s="4">
        <v>130670.93</v>
      </c>
    </row>
    <row r="180" spans="1:14">
      <c r="A180" s="4" t="s">
        <v>66</v>
      </c>
      <c r="B180" s="7">
        <v>45717</v>
      </c>
      <c r="C180" s="4" t="s">
        <v>27</v>
      </c>
      <c r="D180" s="4" t="s">
        <v>21</v>
      </c>
      <c r="E180" s="4">
        <v>40535.09</v>
      </c>
      <c r="F180" s="4">
        <v>8870</v>
      </c>
      <c r="G180" s="4">
        <v>0.041</v>
      </c>
      <c r="H180" s="4">
        <v>21</v>
      </c>
      <c r="I180" s="4">
        <v>86.6</v>
      </c>
      <c r="J180" s="4">
        <v>0.3</v>
      </c>
      <c r="K180" s="4">
        <v>0</v>
      </c>
      <c r="L180" s="4">
        <v>4.1</v>
      </c>
      <c r="M180" s="4">
        <v>781955.52</v>
      </c>
      <c r="N180" s="4">
        <v>152578.71</v>
      </c>
    </row>
    <row r="181" spans="1:14">
      <c r="A181" s="4" t="s">
        <v>66</v>
      </c>
      <c r="B181" s="7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0.013</v>
      </c>
      <c r="H181" s="4">
        <v>20</v>
      </c>
      <c r="I181" s="4">
        <v>89.6</v>
      </c>
      <c r="J181" s="4">
        <v>8.44</v>
      </c>
      <c r="K181" s="4">
        <v>0</v>
      </c>
      <c r="L181" s="4">
        <v>4.1</v>
      </c>
      <c r="M181" s="4">
        <v>898031.04</v>
      </c>
      <c r="N181" s="4">
        <v>138666.5</v>
      </c>
    </row>
    <row r="182" spans="1:14">
      <c r="A182" s="4" t="s">
        <v>67</v>
      </c>
      <c r="B182" s="7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0.001</v>
      </c>
      <c r="H182" s="4">
        <v>24</v>
      </c>
      <c r="I182" s="4">
        <v>89.4</v>
      </c>
      <c r="J182" s="4">
        <v>5.27</v>
      </c>
      <c r="K182" s="4">
        <v>1</v>
      </c>
      <c r="L182" s="4">
        <v>3.9</v>
      </c>
      <c r="M182" s="4">
        <v>855341.28</v>
      </c>
      <c r="N182" s="4">
        <v>175823.8</v>
      </c>
    </row>
    <row r="183" spans="1:14">
      <c r="A183" s="4" t="s">
        <v>67</v>
      </c>
      <c r="B183" s="7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0.141</v>
      </c>
      <c r="H183" s="4">
        <v>22</v>
      </c>
      <c r="I183" s="4">
        <v>86.4</v>
      </c>
      <c r="J183" s="4">
        <v>13.22</v>
      </c>
      <c r="K183" s="4">
        <v>0</v>
      </c>
      <c r="L183" s="4">
        <v>3.6</v>
      </c>
      <c r="M183" s="4">
        <v>751393.88</v>
      </c>
      <c r="N183" s="4">
        <v>91480.32</v>
      </c>
    </row>
    <row r="184" spans="1:14">
      <c r="A184" s="4" t="s">
        <v>67</v>
      </c>
      <c r="B184" s="7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 s="4">
        <v>3.8</v>
      </c>
      <c r="M184" s="4">
        <v>761077.08</v>
      </c>
      <c r="N184" s="4">
        <v>113605.93</v>
      </c>
    </row>
    <row r="185" spans="1:14">
      <c r="A185" s="4" t="s">
        <v>67</v>
      </c>
      <c r="B185" s="7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0.07</v>
      </c>
      <c r="H185" s="4">
        <v>25</v>
      </c>
      <c r="I185" s="4">
        <v>90.1</v>
      </c>
      <c r="J185" s="4">
        <v>4.03</v>
      </c>
      <c r="K185" s="4">
        <v>0</v>
      </c>
      <c r="L185" s="4">
        <v>3.1</v>
      </c>
      <c r="M185" s="4">
        <v>819660.59</v>
      </c>
      <c r="N185" s="4">
        <v>172699.95</v>
      </c>
    </row>
    <row r="186" spans="1:14">
      <c r="A186" s="4" t="s">
        <v>68</v>
      </c>
      <c r="B186" s="7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0.072</v>
      </c>
      <c r="H186" s="4">
        <v>13</v>
      </c>
      <c r="I186" s="4">
        <v>93.7</v>
      </c>
      <c r="J186" s="4">
        <v>2.34</v>
      </c>
      <c r="K186" s="4">
        <v>0</v>
      </c>
      <c r="L186" s="4">
        <v>4.4</v>
      </c>
      <c r="M186" s="4">
        <v>681855.56</v>
      </c>
      <c r="N186" s="4">
        <v>117645.61</v>
      </c>
    </row>
    <row r="187" spans="1:14">
      <c r="A187" s="4" t="s">
        <v>68</v>
      </c>
      <c r="B187" s="7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 s="4">
        <v>4.4</v>
      </c>
      <c r="M187" s="4">
        <v>678311.17</v>
      </c>
      <c r="N187" s="4">
        <v>132029.76</v>
      </c>
    </row>
    <row r="188" spans="1:14">
      <c r="A188" s="4" t="s">
        <v>68</v>
      </c>
      <c r="B188" s="7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0.067</v>
      </c>
      <c r="H188" s="4">
        <v>14</v>
      </c>
      <c r="I188" s="4">
        <v>99</v>
      </c>
      <c r="J188" s="4">
        <v>0.48</v>
      </c>
      <c r="K188" s="4">
        <v>1</v>
      </c>
      <c r="L188" s="4">
        <v>4.3</v>
      </c>
      <c r="M188" s="4">
        <v>765906.95</v>
      </c>
      <c r="N188" s="4">
        <v>114005.9</v>
      </c>
    </row>
    <row r="189" spans="1:14">
      <c r="A189" s="4" t="s">
        <v>68</v>
      </c>
      <c r="B189" s="7">
        <v>45748</v>
      </c>
      <c r="C189" s="4" t="s">
        <v>20</v>
      </c>
      <c r="D189" s="4" t="s">
        <v>18</v>
      </c>
      <c r="E189" s="4">
        <v>72784.8</v>
      </c>
      <c r="F189" s="4">
        <v>7932</v>
      </c>
      <c r="G189" s="4">
        <v>0.094</v>
      </c>
      <c r="H189" s="4">
        <v>20</v>
      </c>
      <c r="I189" s="4">
        <v>74.9</v>
      </c>
      <c r="J189" s="4">
        <v>13.62</v>
      </c>
      <c r="K189" s="4">
        <v>0</v>
      </c>
      <c r="L189" s="4">
        <v>4.2</v>
      </c>
      <c r="M189" s="4">
        <v>712546.38</v>
      </c>
      <c r="N189" s="4">
        <v>101480.04</v>
      </c>
    </row>
    <row r="190" spans="1:14">
      <c r="A190" s="4" t="s">
        <v>69</v>
      </c>
      <c r="B190" s="7">
        <v>45658</v>
      </c>
      <c r="C190" s="4" t="s">
        <v>15</v>
      </c>
      <c r="D190" s="4" t="s">
        <v>18</v>
      </c>
      <c r="E190" s="4">
        <v>71641.9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 s="4">
        <v>4.1</v>
      </c>
      <c r="M190" s="4">
        <v>625993.83</v>
      </c>
      <c r="N190" s="4">
        <v>98960.32</v>
      </c>
    </row>
    <row r="191" spans="1:14">
      <c r="A191" s="4" t="s">
        <v>69</v>
      </c>
      <c r="B191" s="7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0.058</v>
      </c>
      <c r="H191" s="4">
        <v>10</v>
      </c>
      <c r="I191" s="4">
        <v>91.3</v>
      </c>
      <c r="J191" s="4">
        <v>1.99</v>
      </c>
      <c r="K191" s="4">
        <v>0</v>
      </c>
      <c r="L191" s="4">
        <v>3.8</v>
      </c>
      <c r="M191" s="4">
        <v>550962.93</v>
      </c>
      <c r="N191" s="4">
        <v>97144.58</v>
      </c>
    </row>
    <row r="192" spans="1:14">
      <c r="A192" s="4" t="s">
        <v>69</v>
      </c>
      <c r="B192" s="7">
        <v>45717</v>
      </c>
      <c r="C192" s="4" t="s">
        <v>15</v>
      </c>
      <c r="D192" s="4" t="s">
        <v>18</v>
      </c>
      <c r="E192" s="4">
        <v>37705.88</v>
      </c>
      <c r="F192" s="4">
        <v>1268</v>
      </c>
      <c r="G192" s="4">
        <v>0.259</v>
      </c>
      <c r="H192" s="4">
        <v>9</v>
      </c>
      <c r="I192" s="4">
        <v>84.1</v>
      </c>
      <c r="J192" s="4">
        <v>4.77</v>
      </c>
      <c r="K192" s="4">
        <v>0</v>
      </c>
      <c r="L192" s="4">
        <v>3.8</v>
      </c>
      <c r="M192" s="4">
        <v>443275.59</v>
      </c>
      <c r="N192" s="4">
        <v>53544.36</v>
      </c>
    </row>
    <row r="193" spans="1:14">
      <c r="A193" s="4" t="s">
        <v>69</v>
      </c>
      <c r="B193" s="7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 s="4">
        <v>4.4</v>
      </c>
      <c r="M193" s="4">
        <v>554012.07</v>
      </c>
      <c r="N193" s="4">
        <v>81101.62</v>
      </c>
    </row>
    <row r="194" spans="1:14">
      <c r="A194" s="4" t="s">
        <v>70</v>
      </c>
      <c r="B194" s="7">
        <v>45658</v>
      </c>
      <c r="C194" s="4" t="s">
        <v>27</v>
      </c>
      <c r="D194" s="4" t="s">
        <v>16</v>
      </c>
      <c r="E194" s="4">
        <v>81796.74</v>
      </c>
      <c r="F194" s="4">
        <v>6177</v>
      </c>
      <c r="G194" s="4">
        <v>0.164</v>
      </c>
      <c r="H194" s="4">
        <v>14</v>
      </c>
      <c r="I194" s="4">
        <v>87.9</v>
      </c>
      <c r="J194" s="4">
        <v>0.53</v>
      </c>
      <c r="K194" s="4">
        <v>0</v>
      </c>
      <c r="L194" s="4">
        <v>3.2</v>
      </c>
      <c r="M194" s="4">
        <v>643428.85</v>
      </c>
      <c r="N194" s="4">
        <v>94477.63</v>
      </c>
    </row>
    <row r="195" spans="1:14">
      <c r="A195" s="4" t="s">
        <v>70</v>
      </c>
      <c r="B195" s="7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 s="4">
        <v>3.2</v>
      </c>
      <c r="M195" s="4">
        <v>611924.27</v>
      </c>
      <c r="N195" s="4">
        <v>115488.75</v>
      </c>
    </row>
    <row r="196" spans="1:14">
      <c r="A196" s="4" t="s">
        <v>70</v>
      </c>
      <c r="B196" s="7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0.089</v>
      </c>
      <c r="H196" s="4">
        <v>14</v>
      </c>
      <c r="I196" s="4">
        <v>86.6</v>
      </c>
      <c r="J196" s="4">
        <v>3.63</v>
      </c>
      <c r="K196" s="4">
        <v>0</v>
      </c>
      <c r="L196" s="4">
        <v>3.7</v>
      </c>
      <c r="M196" s="4">
        <v>559422.02</v>
      </c>
      <c r="N196" s="4">
        <v>73528.74</v>
      </c>
    </row>
    <row r="197" spans="1:14">
      <c r="A197" s="4" t="s">
        <v>70</v>
      </c>
      <c r="B197" s="7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</v>
      </c>
      <c r="H197" s="4">
        <v>7</v>
      </c>
      <c r="I197" s="4">
        <v>85.4</v>
      </c>
      <c r="J197" s="4">
        <v>13.48</v>
      </c>
      <c r="K197" s="4">
        <v>0</v>
      </c>
      <c r="L197" s="4"/>
      <c r="M197" s="4">
        <v>449465.06</v>
      </c>
      <c r="N197" s="4">
        <v>65694.78</v>
      </c>
    </row>
    <row r="198" spans="1:14">
      <c r="A198" s="4" t="s">
        <v>71</v>
      </c>
      <c r="B198" s="7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0.098</v>
      </c>
      <c r="H198" s="4">
        <v>11</v>
      </c>
      <c r="I198" s="4">
        <v>89.6</v>
      </c>
      <c r="J198" s="4">
        <v>0.2</v>
      </c>
      <c r="K198" s="4">
        <v>0</v>
      </c>
      <c r="L198" s="4">
        <v>4.2</v>
      </c>
      <c r="M198" s="4">
        <v>691447.43</v>
      </c>
      <c r="N198" s="4">
        <v>114077.69</v>
      </c>
    </row>
    <row r="199" spans="1:14">
      <c r="A199" s="4" t="s">
        <v>71</v>
      </c>
      <c r="B199" s="7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0.027</v>
      </c>
      <c r="H199" s="4">
        <v>15</v>
      </c>
      <c r="I199" s="4">
        <v>90.6</v>
      </c>
      <c r="J199" s="4">
        <v>12.82</v>
      </c>
      <c r="K199" s="4">
        <v>0</v>
      </c>
      <c r="L199" s="4">
        <v>4.6</v>
      </c>
      <c r="M199" s="4">
        <v>574066.61</v>
      </c>
      <c r="N199" s="4">
        <v>124674.67</v>
      </c>
    </row>
    <row r="200" spans="1:14">
      <c r="A200" s="4" t="s">
        <v>71</v>
      </c>
      <c r="B200" s="7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0.284</v>
      </c>
      <c r="H200" s="4">
        <v>13</v>
      </c>
      <c r="I200" s="4">
        <v>86</v>
      </c>
      <c r="J200" s="4">
        <v>2.24</v>
      </c>
      <c r="K200" s="4">
        <v>1</v>
      </c>
      <c r="L200" s="4">
        <v>4.3</v>
      </c>
      <c r="M200" s="4">
        <v>578949.84</v>
      </c>
      <c r="N200" s="4">
        <v>80253.65</v>
      </c>
    </row>
    <row r="201" spans="1:14">
      <c r="A201" s="4" t="s">
        <v>71</v>
      </c>
      <c r="B201" s="7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 s="4">
        <v>4.8</v>
      </c>
      <c r="M201" s="4">
        <v>735786.64</v>
      </c>
      <c r="N201" s="4">
        <v>126540.66</v>
      </c>
    </row>
    <row r="202" spans="1:14">
      <c r="A202" s="4" t="s">
        <v>72</v>
      </c>
      <c r="B202" s="7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 s="4">
        <v>4.6</v>
      </c>
      <c r="M202" s="4">
        <v>598904.9</v>
      </c>
      <c r="N202" s="4">
        <v>72861</v>
      </c>
    </row>
    <row r="203" spans="1:14">
      <c r="A203" s="4" t="s">
        <v>72</v>
      </c>
      <c r="B203" s="7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 s="4">
        <v>4.8</v>
      </c>
      <c r="M203" s="4">
        <v>787715.51</v>
      </c>
      <c r="N203" s="4">
        <v>128969.62</v>
      </c>
    </row>
    <row r="204" spans="1:14">
      <c r="A204" s="4" t="s">
        <v>72</v>
      </c>
      <c r="B204" s="7">
        <v>45717</v>
      </c>
      <c r="C204" s="4" t="s">
        <v>15</v>
      </c>
      <c r="D204" s="4" t="s">
        <v>21</v>
      </c>
      <c r="E204" s="4">
        <v>35203.23</v>
      </c>
      <c r="F204" s="4">
        <v>6896</v>
      </c>
      <c r="G204" s="4">
        <v>0.032</v>
      </c>
      <c r="H204" s="4">
        <v>14</v>
      </c>
      <c r="I204" s="4">
        <v>80.8</v>
      </c>
      <c r="J204" s="4">
        <v>8.44</v>
      </c>
      <c r="K204" s="4">
        <v>1</v>
      </c>
      <c r="L204" s="4">
        <v>5</v>
      </c>
      <c r="M204" s="4">
        <v>607084.92</v>
      </c>
      <c r="N204" s="4">
        <v>98558.49</v>
      </c>
    </row>
    <row r="205" spans="1:14">
      <c r="A205" s="4" t="s">
        <v>72</v>
      </c>
      <c r="B205" s="7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 s="4">
        <v>4</v>
      </c>
      <c r="M205" s="4">
        <v>650795.49</v>
      </c>
      <c r="N205" s="4">
        <v>103035.89</v>
      </c>
    </row>
    <row r="206" spans="1:14">
      <c r="A206" s="4" t="s">
        <v>73</v>
      </c>
      <c r="B206" s="7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0.07</v>
      </c>
      <c r="H206" s="4">
        <v>24</v>
      </c>
      <c r="I206" s="4">
        <v>94.3</v>
      </c>
      <c r="J206" s="4">
        <v>0.87</v>
      </c>
      <c r="K206" s="4">
        <v>0</v>
      </c>
      <c r="L206" s="4">
        <v>3.7</v>
      </c>
      <c r="M206" s="4">
        <v>825060.52</v>
      </c>
      <c r="N206" s="4">
        <v>143613.15</v>
      </c>
    </row>
    <row r="207" spans="1:14">
      <c r="A207" s="4" t="s">
        <v>73</v>
      </c>
      <c r="B207" s="7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 s="4">
        <v>3.7</v>
      </c>
      <c r="M207" s="4">
        <v>795464.47</v>
      </c>
      <c r="N207" s="4">
        <v>161150.52</v>
      </c>
    </row>
    <row r="208" spans="1:14">
      <c r="A208" s="4" t="s">
        <v>73</v>
      </c>
      <c r="B208" s="7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0.149</v>
      </c>
      <c r="H208" s="4">
        <v>19</v>
      </c>
      <c r="I208" s="4">
        <v>83.2</v>
      </c>
      <c r="J208" s="4">
        <v>3.82</v>
      </c>
      <c r="K208" s="4">
        <v>0</v>
      </c>
      <c r="L208" s="4">
        <v>3.7</v>
      </c>
      <c r="M208" s="4">
        <v>671868.59</v>
      </c>
      <c r="N208" s="4">
        <v>71003.28</v>
      </c>
    </row>
    <row r="209" spans="1:14">
      <c r="A209" s="4" t="s">
        <v>73</v>
      </c>
      <c r="B209" s="7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</v>
      </c>
      <c r="H209" s="4">
        <v>18</v>
      </c>
      <c r="I209" s="4">
        <v>93.6</v>
      </c>
      <c r="J209" s="4">
        <v>2.7</v>
      </c>
      <c r="K209" s="4">
        <v>0</v>
      </c>
      <c r="L209" s="4">
        <v>3.7</v>
      </c>
      <c r="M209" s="4">
        <v>675917.63</v>
      </c>
      <c r="N209" s="4">
        <v>112564.75</v>
      </c>
    </row>
    <row r="210" spans="1:14">
      <c r="A210" s="4" t="s">
        <v>74</v>
      </c>
      <c r="B210" s="7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0.097</v>
      </c>
      <c r="H210" s="4">
        <v>24</v>
      </c>
      <c r="I210" s="4">
        <v>87</v>
      </c>
      <c r="J210" s="4">
        <v>3.84</v>
      </c>
      <c r="K210" s="4">
        <v>1</v>
      </c>
      <c r="L210" s="4">
        <v>3.7</v>
      </c>
      <c r="M210" s="4">
        <v>810446.53</v>
      </c>
      <c r="N210" s="4">
        <v>200575.34</v>
      </c>
    </row>
    <row r="211" spans="1:14">
      <c r="A211" s="4" t="s">
        <v>74</v>
      </c>
      <c r="B211" s="7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</v>
      </c>
      <c r="H211" s="4">
        <v>19</v>
      </c>
      <c r="I211" s="4">
        <v>84.9</v>
      </c>
      <c r="J211" s="4">
        <v>5.09</v>
      </c>
      <c r="K211" s="4">
        <v>0</v>
      </c>
      <c r="L211" s="4">
        <v>3.3</v>
      </c>
      <c r="M211" s="4">
        <v>691288.19</v>
      </c>
      <c r="N211" s="4">
        <v>159074.14</v>
      </c>
    </row>
    <row r="212" spans="1:14">
      <c r="A212" s="4" t="s">
        <v>74</v>
      </c>
      <c r="B212" s="7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0.029</v>
      </c>
      <c r="H212" s="4">
        <v>31</v>
      </c>
      <c r="I212" s="4">
        <v>91.7</v>
      </c>
      <c r="J212" s="4">
        <v>3.82</v>
      </c>
      <c r="K212" s="4">
        <v>1</v>
      </c>
      <c r="L212" s="4">
        <v>3.7</v>
      </c>
      <c r="M212" s="4">
        <v>946833.54</v>
      </c>
      <c r="N212" s="4">
        <v>184540.31</v>
      </c>
    </row>
    <row r="213" spans="1:14">
      <c r="A213" s="4" t="s">
        <v>74</v>
      </c>
      <c r="B213" s="7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0.093</v>
      </c>
      <c r="H213" s="4">
        <v>21</v>
      </c>
      <c r="I213" s="4">
        <v>87</v>
      </c>
      <c r="J213" s="4">
        <v>12.28</v>
      </c>
      <c r="K213" s="4">
        <v>0</v>
      </c>
      <c r="L213" s="4">
        <v>4.1</v>
      </c>
      <c r="M213" s="4">
        <v>761963.23</v>
      </c>
      <c r="N213" s="4">
        <v>150113.61</v>
      </c>
    </row>
    <row r="214" spans="1:14">
      <c r="A214" s="4" t="s">
        <v>75</v>
      </c>
      <c r="B214" s="7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0.091</v>
      </c>
      <c r="H214" s="4">
        <v>25</v>
      </c>
      <c r="I214" s="4">
        <v>89.7</v>
      </c>
      <c r="J214" s="4">
        <v>2.8</v>
      </c>
      <c r="K214" s="4">
        <v>0</v>
      </c>
      <c r="L214" s="4">
        <v>4.3</v>
      </c>
      <c r="M214" s="4">
        <v>812152.6</v>
      </c>
      <c r="N214" s="4">
        <v>138419.43</v>
      </c>
    </row>
    <row r="215" spans="1:14">
      <c r="A215" s="4" t="s">
        <v>75</v>
      </c>
      <c r="B215" s="7">
        <v>45689</v>
      </c>
      <c r="C215" s="4" t="s">
        <v>27</v>
      </c>
      <c r="D215" s="4" t="s">
        <v>16</v>
      </c>
      <c r="E215" s="4">
        <v>41819.45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 s="4">
        <v>4.2</v>
      </c>
      <c r="M215" s="4">
        <v>804975.5</v>
      </c>
      <c r="N215" s="4">
        <v>140054.5</v>
      </c>
    </row>
    <row r="216" spans="1:14">
      <c r="A216" s="4" t="s">
        <v>75</v>
      </c>
      <c r="B216" s="7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 s="4">
        <v>4.7</v>
      </c>
      <c r="M216" s="4">
        <v>752321.72</v>
      </c>
      <c r="N216" s="4">
        <v>137788.51</v>
      </c>
    </row>
    <row r="217" spans="1:14">
      <c r="A217" s="4" t="s">
        <v>75</v>
      </c>
      <c r="B217" s="7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0.147</v>
      </c>
      <c r="H217" s="4">
        <v>25</v>
      </c>
      <c r="I217" s="4">
        <v>88.4</v>
      </c>
      <c r="J217" s="4">
        <v>2.44</v>
      </c>
      <c r="K217" s="4">
        <v>0</v>
      </c>
      <c r="L217" s="4">
        <v>4.9</v>
      </c>
      <c r="M217" s="4">
        <v>836908.24</v>
      </c>
      <c r="N217" s="4">
        <v>141090.26</v>
      </c>
    </row>
    <row r="218" spans="1:14">
      <c r="A218" s="4" t="s">
        <v>76</v>
      </c>
      <c r="B218" s="7">
        <v>45658</v>
      </c>
      <c r="C218" s="4" t="s">
        <v>20</v>
      </c>
      <c r="D218" s="4" t="s">
        <v>21</v>
      </c>
      <c r="E218" s="4">
        <v>69180.54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 s="4">
        <v>3.3</v>
      </c>
      <c r="M218" s="4">
        <v>674289.1</v>
      </c>
      <c r="N218" s="4">
        <v>117773.79</v>
      </c>
    </row>
    <row r="219" spans="1:14">
      <c r="A219" s="4" t="s">
        <v>76</v>
      </c>
      <c r="B219" s="7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 s="4">
        <v>3.9</v>
      </c>
      <c r="M219" s="4">
        <v>622892.42</v>
      </c>
      <c r="N219" s="4">
        <v>101032.52</v>
      </c>
    </row>
    <row r="220" spans="1:14">
      <c r="A220" s="4" t="s">
        <v>76</v>
      </c>
      <c r="B220" s="7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</v>
      </c>
      <c r="H220" s="4">
        <v>14</v>
      </c>
      <c r="I220" s="4">
        <v>90.7</v>
      </c>
      <c r="J220" s="4">
        <v>1.92</v>
      </c>
      <c r="K220" s="4">
        <v>0</v>
      </c>
      <c r="L220" s="4">
        <v>3.7</v>
      </c>
      <c r="M220" s="4">
        <v>673348.56</v>
      </c>
      <c r="N220" s="4">
        <v>69464.59</v>
      </c>
    </row>
    <row r="221" spans="1:14">
      <c r="A221" s="4" t="s">
        <v>76</v>
      </c>
      <c r="B221" s="7">
        <v>45748</v>
      </c>
      <c r="C221" s="4" t="s">
        <v>20</v>
      </c>
      <c r="D221" s="4" t="s">
        <v>21</v>
      </c>
      <c r="E221" s="4">
        <v>16451.85</v>
      </c>
      <c r="F221" s="4">
        <v>4678</v>
      </c>
      <c r="G221" s="4">
        <v>0.133</v>
      </c>
      <c r="H221" s="4">
        <v>11</v>
      </c>
      <c r="I221" s="4">
        <v>95.9</v>
      </c>
      <c r="J221" s="4">
        <v>3.1</v>
      </c>
      <c r="K221" s="4">
        <v>0</v>
      </c>
      <c r="L221" s="4">
        <v>3.9</v>
      </c>
      <c r="M221" s="4">
        <v>606278.3</v>
      </c>
      <c r="N221" s="4">
        <v>102213.26</v>
      </c>
    </row>
    <row r="222" spans="1:14">
      <c r="A222" s="4" t="s">
        <v>77</v>
      </c>
      <c r="B222" s="7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0.146</v>
      </c>
      <c r="H222" s="4">
        <v>18</v>
      </c>
      <c r="I222" s="4">
        <v>90.6</v>
      </c>
      <c r="J222" s="4">
        <v>6.34</v>
      </c>
      <c r="K222" s="4">
        <v>1</v>
      </c>
      <c r="L222" s="4">
        <v>3.8</v>
      </c>
      <c r="M222" s="4">
        <v>712219.81</v>
      </c>
      <c r="N222" s="4">
        <v>85906.54</v>
      </c>
    </row>
    <row r="223" spans="1:14">
      <c r="A223" s="4" t="s">
        <v>77</v>
      </c>
      <c r="B223" s="7">
        <v>45689</v>
      </c>
      <c r="C223" s="4" t="s">
        <v>15</v>
      </c>
      <c r="D223" s="4" t="s">
        <v>18</v>
      </c>
      <c r="E223" s="4">
        <v>27194.64</v>
      </c>
      <c r="F223" s="4">
        <v>7404</v>
      </c>
      <c r="G223" s="4">
        <v>0.088</v>
      </c>
      <c r="H223" s="4">
        <v>18</v>
      </c>
      <c r="I223" s="4">
        <v>90.2</v>
      </c>
      <c r="J223" s="4">
        <v>1.2</v>
      </c>
      <c r="K223" s="4">
        <v>0</v>
      </c>
      <c r="L223" s="4">
        <v>3.4</v>
      </c>
      <c r="M223" s="4">
        <v>672670.54</v>
      </c>
      <c r="N223" s="4">
        <v>132684.18</v>
      </c>
    </row>
    <row r="224" spans="1:14">
      <c r="A224" s="4" t="s">
        <v>77</v>
      </c>
      <c r="B224" s="7">
        <v>45717</v>
      </c>
      <c r="C224" s="4" t="s">
        <v>15</v>
      </c>
      <c r="D224" s="4" t="s">
        <v>18</v>
      </c>
      <c r="E224" s="4">
        <v>66962.74</v>
      </c>
      <c r="F224" s="4">
        <v>7880</v>
      </c>
      <c r="G224" s="4">
        <v>0.116</v>
      </c>
      <c r="H224" s="4">
        <v>19</v>
      </c>
      <c r="I224" s="4">
        <v>90.4</v>
      </c>
      <c r="J224" s="4">
        <v>4.5</v>
      </c>
      <c r="K224" s="4">
        <v>0</v>
      </c>
      <c r="L224" s="4">
        <v>3.3</v>
      </c>
      <c r="M224" s="4">
        <v>732667.92</v>
      </c>
      <c r="N224" s="4">
        <v>128654.46</v>
      </c>
    </row>
    <row r="225" spans="1:14">
      <c r="A225" s="4" t="s">
        <v>77</v>
      </c>
      <c r="B225" s="7">
        <v>45748</v>
      </c>
      <c r="C225" s="4" t="s">
        <v>15</v>
      </c>
      <c r="D225" s="4" t="s">
        <v>18</v>
      </c>
      <c r="E225" s="4">
        <v>73540.99</v>
      </c>
      <c r="F225" s="4">
        <v>8773</v>
      </c>
      <c r="G225" s="4">
        <v>0.035</v>
      </c>
      <c r="H225" s="4">
        <v>21</v>
      </c>
      <c r="I225" s="4">
        <v>84.4</v>
      </c>
      <c r="J225" s="4">
        <v>6.68</v>
      </c>
      <c r="K225" s="4">
        <v>0</v>
      </c>
      <c r="L225" s="4">
        <v>3.6</v>
      </c>
      <c r="M225" s="4">
        <v>723531.4</v>
      </c>
      <c r="N225" s="4">
        <v>108794.85</v>
      </c>
    </row>
    <row r="226" spans="1:14">
      <c r="A226" s="4" t="s">
        <v>78</v>
      </c>
      <c r="B226" s="7">
        <v>45658</v>
      </c>
      <c r="C226" s="4" t="s">
        <v>15</v>
      </c>
      <c r="D226" s="4" t="s">
        <v>28</v>
      </c>
      <c r="E226" s="4">
        <v>68212.29</v>
      </c>
      <c r="F226" s="4">
        <v>4713</v>
      </c>
      <c r="G226" s="4">
        <v>0.198</v>
      </c>
      <c r="H226" s="4">
        <v>15</v>
      </c>
      <c r="I226" s="4">
        <v>82.6</v>
      </c>
      <c r="J226" s="4">
        <v>4.07</v>
      </c>
      <c r="K226" s="4">
        <v>1</v>
      </c>
      <c r="L226" s="4">
        <v>3</v>
      </c>
      <c r="M226" s="4">
        <v>641564.6</v>
      </c>
      <c r="N226" s="4">
        <v>90468.96</v>
      </c>
    </row>
    <row r="227" spans="1:14">
      <c r="A227" s="4" t="s">
        <v>78</v>
      </c>
      <c r="B227" s="7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 s="4">
        <v>3.4</v>
      </c>
      <c r="M227" s="4">
        <v>536545.49</v>
      </c>
      <c r="N227" s="4">
        <v>97917.45</v>
      </c>
    </row>
    <row r="228" spans="1:14">
      <c r="A228" s="4" t="s">
        <v>78</v>
      </c>
      <c r="B228" s="7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</v>
      </c>
      <c r="H228" s="4">
        <v>12</v>
      </c>
      <c r="I228" s="4">
        <v>83.2</v>
      </c>
      <c r="J228" s="4">
        <v>15.58</v>
      </c>
      <c r="K228" s="4">
        <v>0</v>
      </c>
      <c r="L228" s="4">
        <v>3.3</v>
      </c>
      <c r="M228" s="4">
        <v>527681.56</v>
      </c>
      <c r="N228" s="4">
        <v>63153.05</v>
      </c>
    </row>
    <row r="229" spans="1:14">
      <c r="A229" s="4" t="s">
        <v>78</v>
      </c>
      <c r="B229" s="7">
        <v>45748</v>
      </c>
      <c r="C229" s="4" t="s">
        <v>15</v>
      </c>
      <c r="D229" s="4" t="s">
        <v>28</v>
      </c>
      <c r="E229" s="4">
        <v>39341.45</v>
      </c>
      <c r="F229" s="4">
        <v>1375</v>
      </c>
      <c r="G229" s="4">
        <v>0.093</v>
      </c>
      <c r="H229" s="4">
        <v>5</v>
      </c>
      <c r="I229" s="4">
        <v>95</v>
      </c>
      <c r="J229" s="4">
        <v>5.32</v>
      </c>
      <c r="K229" s="4">
        <v>0</v>
      </c>
      <c r="L229" s="4"/>
      <c r="M229" s="4">
        <v>529598.94</v>
      </c>
      <c r="N229" s="4">
        <v>84334.33</v>
      </c>
    </row>
    <row r="230" spans="1:14">
      <c r="A230" s="4" t="s">
        <v>79</v>
      </c>
      <c r="B230" s="7">
        <v>45658</v>
      </c>
      <c r="C230" s="4" t="s">
        <v>15</v>
      </c>
      <c r="D230" s="4" t="s">
        <v>18</v>
      </c>
      <c r="E230" s="4">
        <v>37324.23</v>
      </c>
      <c r="F230" s="4">
        <v>5957</v>
      </c>
      <c r="G230" s="4">
        <v>0.071</v>
      </c>
      <c r="H230" s="4">
        <v>12</v>
      </c>
      <c r="I230" s="4">
        <v>85.9</v>
      </c>
      <c r="J230" s="4">
        <v>0.37</v>
      </c>
      <c r="K230" s="4">
        <v>0</v>
      </c>
      <c r="L230" s="4">
        <v>3.8</v>
      </c>
      <c r="M230" s="4">
        <v>570963.31</v>
      </c>
      <c r="N230" s="4">
        <v>87342.25</v>
      </c>
    </row>
    <row r="231" spans="1:14">
      <c r="A231" s="4" t="s">
        <v>79</v>
      </c>
      <c r="B231" s="7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</v>
      </c>
      <c r="H231" s="4">
        <v>24</v>
      </c>
      <c r="I231" s="4">
        <v>86.2</v>
      </c>
      <c r="J231" s="4">
        <v>21.63</v>
      </c>
      <c r="K231" s="4">
        <v>0</v>
      </c>
      <c r="L231" s="4">
        <v>4</v>
      </c>
      <c r="M231" s="4">
        <v>870937.4</v>
      </c>
      <c r="N231" s="4">
        <v>175282.74</v>
      </c>
    </row>
    <row r="232" spans="1:14">
      <c r="A232" s="4" t="s">
        <v>79</v>
      </c>
      <c r="B232" s="7">
        <v>45717</v>
      </c>
      <c r="C232" s="4" t="s">
        <v>15</v>
      </c>
      <c r="D232" s="4" t="s">
        <v>18</v>
      </c>
      <c r="E232" s="4">
        <v>33173.95</v>
      </c>
      <c r="F232" s="4">
        <v>6545</v>
      </c>
      <c r="G232" s="4">
        <v>0.169</v>
      </c>
      <c r="H232" s="4">
        <v>15</v>
      </c>
      <c r="I232" s="4">
        <v>84.4</v>
      </c>
      <c r="J232" s="4">
        <v>2.48</v>
      </c>
      <c r="K232" s="4">
        <v>0</v>
      </c>
      <c r="L232" s="4">
        <v>3.9</v>
      </c>
      <c r="M232" s="4">
        <v>596969.27</v>
      </c>
      <c r="N232" s="4">
        <v>105669.51</v>
      </c>
    </row>
    <row r="233" spans="1:14">
      <c r="A233" s="4" t="s">
        <v>79</v>
      </c>
      <c r="B233" s="7">
        <v>45748</v>
      </c>
      <c r="C233" s="4" t="s">
        <v>15</v>
      </c>
      <c r="D233" s="4" t="s">
        <v>18</v>
      </c>
      <c r="E233" s="4">
        <v>25818.08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v>0</v>
      </c>
      <c r="L233" s="4">
        <v>3.7</v>
      </c>
      <c r="M233" s="4">
        <v>647512.85</v>
      </c>
      <c r="N233" s="4">
        <v>153835.57</v>
      </c>
    </row>
    <row r="234" spans="1:14">
      <c r="A234" s="4" t="s">
        <v>80</v>
      </c>
      <c r="B234" s="7">
        <v>45658</v>
      </c>
      <c r="C234" s="4" t="s">
        <v>27</v>
      </c>
      <c r="D234" s="4" t="s">
        <v>16</v>
      </c>
      <c r="E234" s="4">
        <v>47241.92</v>
      </c>
      <c r="F234" s="4">
        <v>4264</v>
      </c>
      <c r="G234" s="4">
        <v>0.069</v>
      </c>
      <c r="H234" s="4">
        <v>13</v>
      </c>
      <c r="I234" s="4">
        <v>95.3</v>
      </c>
      <c r="J234" s="4">
        <v>0.85</v>
      </c>
      <c r="K234" s="4">
        <v>0</v>
      </c>
      <c r="L234" s="4">
        <v>4.3</v>
      </c>
      <c r="M234" s="4">
        <v>658072.14</v>
      </c>
      <c r="N234" s="4">
        <v>110595.89</v>
      </c>
    </row>
    <row r="235" spans="1:14">
      <c r="A235" s="4" t="s">
        <v>80</v>
      </c>
      <c r="B235" s="7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 s="4">
        <v>4</v>
      </c>
      <c r="M235" s="4">
        <v>723305.11</v>
      </c>
      <c r="N235" s="4">
        <v>128468.7</v>
      </c>
    </row>
    <row r="236" spans="1:14">
      <c r="A236" s="4" t="s">
        <v>80</v>
      </c>
      <c r="B236" s="7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0.048</v>
      </c>
      <c r="H236" s="4">
        <v>16</v>
      </c>
      <c r="I236" s="4">
        <v>81.2</v>
      </c>
      <c r="J236" s="4">
        <v>1.46</v>
      </c>
      <c r="K236" s="4">
        <v>0</v>
      </c>
      <c r="L236" s="4">
        <v>4.5</v>
      </c>
      <c r="M236" s="4">
        <v>640666.53</v>
      </c>
      <c r="N236" s="4">
        <v>134919.16</v>
      </c>
    </row>
    <row r="237" spans="1:14">
      <c r="A237" s="4" t="s">
        <v>80</v>
      </c>
      <c r="B237" s="7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0.119</v>
      </c>
      <c r="H237" s="4">
        <v>17</v>
      </c>
      <c r="I237" s="4">
        <v>92.2</v>
      </c>
      <c r="J237" s="4">
        <v>3.02</v>
      </c>
      <c r="K237" s="4">
        <v>0</v>
      </c>
      <c r="L237" s="4">
        <v>4.1</v>
      </c>
      <c r="M237" s="4">
        <v>670629.48</v>
      </c>
      <c r="N237" s="4">
        <v>100140.8</v>
      </c>
    </row>
    <row r="238" spans="1:14">
      <c r="A238" s="4" t="s">
        <v>81</v>
      </c>
      <c r="B238" s="7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 s="4">
        <v>3.7</v>
      </c>
      <c r="M238" s="4">
        <v>721079.35</v>
      </c>
      <c r="N238" s="4">
        <v>115295.05</v>
      </c>
    </row>
    <row r="239" spans="1:14">
      <c r="A239" s="4" t="s">
        <v>81</v>
      </c>
      <c r="B239" s="7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 s="4">
        <v>3.4</v>
      </c>
      <c r="M239" s="4">
        <v>810355.02</v>
      </c>
      <c r="N239" s="4">
        <v>131510</v>
      </c>
    </row>
    <row r="240" spans="1:14">
      <c r="A240" s="4" t="s">
        <v>81</v>
      </c>
      <c r="B240" s="7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</v>
      </c>
      <c r="H240" s="4">
        <v>23</v>
      </c>
      <c r="I240" s="4">
        <v>80.9</v>
      </c>
      <c r="J240" s="4">
        <v>6.96</v>
      </c>
      <c r="K240" s="4">
        <v>0</v>
      </c>
      <c r="L240" s="4">
        <v>3.2</v>
      </c>
      <c r="M240" s="4">
        <v>761919.25</v>
      </c>
      <c r="N240" s="4">
        <v>111893.06</v>
      </c>
    </row>
    <row r="241" spans="1:14">
      <c r="A241" s="4" t="s">
        <v>81</v>
      </c>
      <c r="B241" s="7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 s="4">
        <v>3.3</v>
      </c>
      <c r="M241" s="4">
        <v>737070.18</v>
      </c>
      <c r="N241" s="4">
        <v>117593.97</v>
      </c>
    </row>
    <row r="242" spans="1:14">
      <c r="A242" s="4" t="s">
        <v>82</v>
      </c>
      <c r="B242" s="7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</v>
      </c>
      <c r="H242" s="4">
        <v>22</v>
      </c>
      <c r="I242" s="4">
        <v>85.6</v>
      </c>
      <c r="J242" s="4">
        <v>10.68</v>
      </c>
      <c r="K242" s="4">
        <v>1</v>
      </c>
      <c r="L242" s="4">
        <v>2.9</v>
      </c>
      <c r="M242" s="4">
        <v>776992.93</v>
      </c>
      <c r="N242" s="4">
        <v>101598.32</v>
      </c>
    </row>
    <row r="243" spans="1:14">
      <c r="A243" s="4" t="s">
        <v>82</v>
      </c>
      <c r="B243" s="7">
        <v>45689</v>
      </c>
      <c r="C243" s="4" t="s">
        <v>24</v>
      </c>
      <c r="D243" s="4" t="s">
        <v>21</v>
      </c>
      <c r="E243" s="4">
        <v>51781.6</v>
      </c>
      <c r="F243" s="4">
        <v>5648</v>
      </c>
      <c r="G243" s="4">
        <v>0.059</v>
      </c>
      <c r="H243" s="4">
        <v>13</v>
      </c>
      <c r="I243" s="4">
        <v>85.5</v>
      </c>
      <c r="J243" s="4">
        <v>4.04</v>
      </c>
      <c r="K243" s="4">
        <v>0</v>
      </c>
      <c r="L243" s="4">
        <v>3.7</v>
      </c>
      <c r="M243" s="4">
        <v>676337.41</v>
      </c>
      <c r="N243" s="4">
        <v>104355.77</v>
      </c>
    </row>
    <row r="244" spans="1:14">
      <c r="A244" s="4" t="s">
        <v>82</v>
      </c>
      <c r="B244" s="7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 s="4">
        <v>3.5</v>
      </c>
      <c r="M244" s="4">
        <v>828219.67</v>
      </c>
      <c r="N244" s="4">
        <v>179806.87</v>
      </c>
    </row>
    <row r="245" spans="1:14">
      <c r="A245" s="4" t="s">
        <v>82</v>
      </c>
      <c r="B245" s="7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 s="4">
        <v>3</v>
      </c>
      <c r="M245" s="4">
        <v>763159.92</v>
      </c>
      <c r="N245" s="4">
        <v>177104.87</v>
      </c>
    </row>
    <row r="246" spans="1:14">
      <c r="A246" s="4" t="s">
        <v>83</v>
      </c>
      <c r="B246" s="7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0.084</v>
      </c>
      <c r="H246" s="4">
        <v>20</v>
      </c>
      <c r="I246" s="4">
        <v>91</v>
      </c>
      <c r="J246" s="4">
        <v>0.95</v>
      </c>
      <c r="K246" s="4">
        <v>0</v>
      </c>
      <c r="L246" s="4">
        <v>3.2</v>
      </c>
      <c r="M246" s="4">
        <v>802001.68</v>
      </c>
      <c r="N246" s="4">
        <v>159715.82</v>
      </c>
    </row>
    <row r="247" spans="1:14">
      <c r="A247" s="4" t="s">
        <v>83</v>
      </c>
      <c r="B247" s="7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 s="4">
        <v>3.4</v>
      </c>
      <c r="M247" s="4">
        <v>750471.34</v>
      </c>
      <c r="N247" s="4">
        <v>133788.04</v>
      </c>
    </row>
    <row r="248" spans="1:14">
      <c r="A248" s="4" t="s">
        <v>83</v>
      </c>
      <c r="B248" s="7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 s="4">
        <v>3.1</v>
      </c>
      <c r="M248" s="4">
        <v>679230.86</v>
      </c>
      <c r="N248" s="4">
        <v>106927.58</v>
      </c>
    </row>
    <row r="249" spans="1:14">
      <c r="A249" s="4" t="s">
        <v>83</v>
      </c>
      <c r="B249" s="7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</v>
      </c>
      <c r="H249" s="4">
        <v>20</v>
      </c>
      <c r="I249" s="4">
        <v>90.4</v>
      </c>
      <c r="J249" s="4">
        <v>1.7</v>
      </c>
      <c r="K249" s="4">
        <v>0</v>
      </c>
      <c r="L249" s="4">
        <v>3.3</v>
      </c>
      <c r="M249" s="4">
        <v>679888.74</v>
      </c>
      <c r="N249" s="4">
        <v>83406.89</v>
      </c>
    </row>
    <row r="250" spans="1:14">
      <c r="A250" s="4" t="s">
        <v>84</v>
      </c>
      <c r="B250" s="7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v>0</v>
      </c>
      <c r="L250" s="4">
        <v>3.8</v>
      </c>
      <c r="M250" s="4">
        <v>606783.67</v>
      </c>
      <c r="N250" s="4">
        <v>74515.87</v>
      </c>
    </row>
    <row r="251" spans="1:14">
      <c r="A251" s="4" t="s">
        <v>84</v>
      </c>
      <c r="B251" s="7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0.026</v>
      </c>
      <c r="H251" s="4">
        <v>17</v>
      </c>
      <c r="I251" s="4">
        <v>81.8</v>
      </c>
      <c r="J251" s="4">
        <v>5.1</v>
      </c>
      <c r="K251" s="4">
        <v>0</v>
      </c>
      <c r="L251" s="4">
        <v>3.6</v>
      </c>
      <c r="M251" s="4">
        <v>642751.42</v>
      </c>
      <c r="N251" s="4">
        <v>131942.15</v>
      </c>
    </row>
    <row r="252" spans="1:14">
      <c r="A252" s="4" t="s">
        <v>84</v>
      </c>
      <c r="B252" s="7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</v>
      </c>
      <c r="H252" s="4">
        <v>15</v>
      </c>
      <c r="I252" s="4">
        <v>88.4</v>
      </c>
      <c r="J252" s="4">
        <v>0.83</v>
      </c>
      <c r="K252" s="4">
        <v>0</v>
      </c>
      <c r="L252" s="4">
        <v>4</v>
      </c>
      <c r="M252" s="4">
        <v>647953.78</v>
      </c>
      <c r="N252" s="4">
        <v>118497.43</v>
      </c>
    </row>
    <row r="253" spans="1:14">
      <c r="A253" s="4" t="s">
        <v>84</v>
      </c>
      <c r="B253" s="7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0.087</v>
      </c>
      <c r="H253" s="4">
        <v>14</v>
      </c>
      <c r="I253" s="4">
        <v>79.2</v>
      </c>
      <c r="J253" s="4">
        <v>1.14</v>
      </c>
      <c r="K253" s="4">
        <v>0</v>
      </c>
      <c r="L253" s="4">
        <v>4</v>
      </c>
      <c r="M253" s="4">
        <v>729440.45</v>
      </c>
      <c r="N253" s="4">
        <v>87614.29</v>
      </c>
    </row>
    <row r="254" spans="1:14">
      <c r="A254" s="4" t="s">
        <v>85</v>
      </c>
      <c r="B254" s="7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9.54</v>
      </c>
      <c r="K254" s="4">
        <v>0</v>
      </c>
      <c r="L254" s="4">
        <v>3.7</v>
      </c>
      <c r="M254" s="4">
        <v>764949</v>
      </c>
      <c r="N254" s="4">
        <v>148322.43</v>
      </c>
    </row>
    <row r="255" spans="1:14">
      <c r="A255" s="4" t="s">
        <v>85</v>
      </c>
      <c r="B255" s="7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0.074</v>
      </c>
      <c r="H255" s="4">
        <v>17</v>
      </c>
      <c r="I255" s="4">
        <v>89.5</v>
      </c>
      <c r="J255" s="4">
        <v>5.48</v>
      </c>
      <c r="K255" s="4">
        <v>0</v>
      </c>
      <c r="L255" s="4">
        <v>3.2</v>
      </c>
      <c r="M255" s="4">
        <v>799046.94</v>
      </c>
      <c r="N255" s="4">
        <v>144553.64</v>
      </c>
    </row>
    <row r="256" spans="1:14">
      <c r="A256" s="4" t="s">
        <v>85</v>
      </c>
      <c r="B256" s="7">
        <v>45717</v>
      </c>
      <c r="C256" s="4" t="s">
        <v>24</v>
      </c>
      <c r="D256" s="4" t="s">
        <v>21</v>
      </c>
      <c r="E256" s="4">
        <v>75412.74</v>
      </c>
      <c r="F256" s="4">
        <v>5641</v>
      </c>
      <c r="G256" s="4">
        <v>0.059</v>
      </c>
      <c r="H256" s="4">
        <v>13</v>
      </c>
      <c r="I256" s="4">
        <v>87.9</v>
      </c>
      <c r="J256" s="4">
        <v>0.84</v>
      </c>
      <c r="K256" s="4">
        <v>0</v>
      </c>
      <c r="L256" s="4">
        <v>3.6</v>
      </c>
      <c r="M256" s="4">
        <v>720079.54</v>
      </c>
      <c r="N256" s="4">
        <v>119499.47</v>
      </c>
    </row>
    <row r="257" spans="1:14">
      <c r="A257" s="4" t="s">
        <v>85</v>
      </c>
      <c r="B257" s="7">
        <v>45748</v>
      </c>
      <c r="C257" s="4" t="s">
        <v>24</v>
      </c>
      <c r="D257" s="4" t="s">
        <v>21</v>
      </c>
      <c r="E257" s="4">
        <v>36290.08</v>
      </c>
      <c r="F257" s="4">
        <v>5787</v>
      </c>
      <c r="G257" s="4">
        <v>0</v>
      </c>
      <c r="H257" s="4">
        <v>17</v>
      </c>
      <c r="I257" s="4">
        <v>88.3</v>
      </c>
      <c r="J257" s="4">
        <v>4.19</v>
      </c>
      <c r="K257" s="4">
        <v>0</v>
      </c>
      <c r="L257" s="4">
        <v>4.1</v>
      </c>
      <c r="M257" s="4">
        <v>612390.14</v>
      </c>
      <c r="N257" s="4">
        <v>108985.74</v>
      </c>
    </row>
    <row r="258" spans="1:14">
      <c r="A258" s="4" t="s">
        <v>86</v>
      </c>
      <c r="B258" s="7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0.051</v>
      </c>
      <c r="H258" s="4">
        <v>19</v>
      </c>
      <c r="I258" s="4">
        <v>87.8</v>
      </c>
      <c r="J258" s="4">
        <v>1.26</v>
      </c>
      <c r="K258" s="4">
        <v>1</v>
      </c>
      <c r="L258" s="4">
        <v>4.3</v>
      </c>
      <c r="M258" s="4">
        <v>840108.12</v>
      </c>
      <c r="N258" s="4">
        <v>126587.01</v>
      </c>
    </row>
    <row r="259" spans="1:14">
      <c r="A259" s="4" t="s">
        <v>86</v>
      </c>
      <c r="B259" s="7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 s="4">
        <v>4.6</v>
      </c>
      <c r="M259" s="4">
        <v>697888.09</v>
      </c>
      <c r="N259" s="4">
        <v>116249.87</v>
      </c>
    </row>
    <row r="260" spans="1:14">
      <c r="A260" s="4" t="s">
        <v>86</v>
      </c>
      <c r="B260" s="7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0.143</v>
      </c>
      <c r="H260" s="4">
        <v>19</v>
      </c>
      <c r="I260" s="4">
        <v>87.5</v>
      </c>
      <c r="J260" s="4">
        <v>3.69</v>
      </c>
      <c r="K260" s="4">
        <v>0</v>
      </c>
      <c r="L260" s="4">
        <v>4.4</v>
      </c>
      <c r="M260" s="4">
        <v>746115.59</v>
      </c>
      <c r="N260" s="4">
        <v>94662.96</v>
      </c>
    </row>
    <row r="261" spans="1:14">
      <c r="A261" s="4" t="s">
        <v>86</v>
      </c>
      <c r="B261" s="7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0.007</v>
      </c>
      <c r="H261" s="4">
        <v>21</v>
      </c>
      <c r="I261" s="4">
        <v>92.2</v>
      </c>
      <c r="J261" s="4">
        <v>1.82</v>
      </c>
      <c r="K261" s="4">
        <v>0</v>
      </c>
      <c r="L261" s="4">
        <v>3.6</v>
      </c>
      <c r="M261" s="4">
        <v>776110.32</v>
      </c>
      <c r="N261" s="4">
        <v>139676.21</v>
      </c>
    </row>
    <row r="262" spans="1:14">
      <c r="A262" s="4" t="s">
        <v>87</v>
      </c>
      <c r="B262" s="7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</v>
      </c>
      <c r="H262" s="4">
        <v>10</v>
      </c>
      <c r="I262" s="4">
        <v>90.3</v>
      </c>
      <c r="J262" s="4">
        <v>6.62</v>
      </c>
      <c r="K262" s="4">
        <v>0</v>
      </c>
      <c r="L262" s="4">
        <v>4.2</v>
      </c>
      <c r="M262" s="4">
        <v>528852.62</v>
      </c>
      <c r="N262" s="4">
        <v>68426.21</v>
      </c>
    </row>
    <row r="263" spans="1:14">
      <c r="A263" s="4" t="s">
        <v>87</v>
      </c>
      <c r="B263" s="7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</v>
      </c>
      <c r="H263" s="4">
        <v>13</v>
      </c>
      <c r="I263" s="4">
        <v>87.3</v>
      </c>
      <c r="J263" s="4"/>
      <c r="K263" s="4">
        <v>0</v>
      </c>
      <c r="L263" s="4">
        <v>4.2</v>
      </c>
      <c r="M263" s="4">
        <v>605751.33</v>
      </c>
      <c r="N263" s="4">
        <v>60685.53</v>
      </c>
    </row>
    <row r="264" spans="1:14">
      <c r="A264" s="4" t="s">
        <v>87</v>
      </c>
      <c r="B264" s="7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0.086</v>
      </c>
      <c r="H264" s="4">
        <v>11</v>
      </c>
      <c r="I264" s="4">
        <v>83.7</v>
      </c>
      <c r="J264" s="4">
        <v>6.92</v>
      </c>
      <c r="K264" s="4">
        <v>1</v>
      </c>
      <c r="L264" s="4">
        <v>4.2</v>
      </c>
      <c r="M264" s="4">
        <v>677640.65</v>
      </c>
      <c r="N264" s="4">
        <v>111610.89</v>
      </c>
    </row>
    <row r="265" spans="1:14">
      <c r="A265" s="4" t="s">
        <v>87</v>
      </c>
      <c r="B265" s="7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 s="4">
        <v>3.7</v>
      </c>
      <c r="M265" s="4">
        <v>636613.23</v>
      </c>
      <c r="N265" s="4">
        <v>78908.35</v>
      </c>
    </row>
    <row r="266" spans="1:14">
      <c r="A266" s="4" t="s">
        <v>88</v>
      </c>
      <c r="B266" s="7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0.094</v>
      </c>
      <c r="H266" s="4">
        <v>15</v>
      </c>
      <c r="I266" s="4">
        <v>95.8</v>
      </c>
      <c r="J266" s="4">
        <v>0.5</v>
      </c>
      <c r="K266" s="4">
        <v>0</v>
      </c>
      <c r="L266" s="4">
        <v>3.5</v>
      </c>
      <c r="M266" s="4">
        <v>708985.19</v>
      </c>
      <c r="N266" s="4">
        <v>125368.16</v>
      </c>
    </row>
    <row r="267" spans="1:14">
      <c r="A267" s="4" t="s">
        <v>88</v>
      </c>
      <c r="B267" s="7">
        <v>45689</v>
      </c>
      <c r="C267" s="4" t="s">
        <v>15</v>
      </c>
      <c r="D267" s="4" t="s">
        <v>18</v>
      </c>
      <c r="E267" s="4">
        <v>73454.54</v>
      </c>
      <c r="F267" s="4">
        <v>8129</v>
      </c>
      <c r="G267" s="4">
        <v>0.211</v>
      </c>
      <c r="H267" s="4">
        <v>20</v>
      </c>
      <c r="I267" s="4">
        <v>85.2</v>
      </c>
      <c r="J267" s="4">
        <v>0.88</v>
      </c>
      <c r="K267" s="4">
        <v>0</v>
      </c>
      <c r="L267" s="4">
        <v>3.7</v>
      </c>
      <c r="M267" s="4">
        <v>767792.94</v>
      </c>
      <c r="N267" s="4">
        <v>96235.77</v>
      </c>
    </row>
    <row r="268" spans="1:14">
      <c r="A268" s="4" t="s">
        <v>88</v>
      </c>
      <c r="B268" s="7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 s="4">
        <v>3.7</v>
      </c>
      <c r="M268" s="4">
        <v>745580.51</v>
      </c>
      <c r="N268" s="4">
        <v>116273.68</v>
      </c>
    </row>
    <row r="269" spans="1:14">
      <c r="A269" s="4" t="s">
        <v>88</v>
      </c>
      <c r="B269" s="7">
        <v>45748</v>
      </c>
      <c r="C269" s="4" t="s">
        <v>15</v>
      </c>
      <c r="D269" s="4" t="s">
        <v>18</v>
      </c>
      <c r="E269" s="4">
        <v>67722.29</v>
      </c>
      <c r="F269" s="4">
        <v>7240</v>
      </c>
      <c r="G269" s="4">
        <v>0.026</v>
      </c>
      <c r="H269" s="4">
        <v>15</v>
      </c>
      <c r="I269" s="4">
        <v>92.9</v>
      </c>
      <c r="J269" s="4">
        <v>0.29</v>
      </c>
      <c r="K269" s="4">
        <v>0</v>
      </c>
      <c r="L269" s="4">
        <v>3.5</v>
      </c>
      <c r="M269" s="4">
        <v>762328.31</v>
      </c>
      <c r="N269" s="4">
        <v>159158.19</v>
      </c>
    </row>
    <row r="270" spans="1:14">
      <c r="A270" s="4" t="s">
        <v>89</v>
      </c>
      <c r="B270" s="7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 s="4">
        <v>3.6</v>
      </c>
      <c r="M270" s="4">
        <v>660633.99</v>
      </c>
      <c r="N270" s="4">
        <v>118768.66</v>
      </c>
    </row>
    <row r="271" spans="1:14">
      <c r="A271" s="4" t="s">
        <v>89</v>
      </c>
      <c r="B271" s="7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</v>
      </c>
      <c r="H271" s="4">
        <v>20</v>
      </c>
      <c r="I271" s="4">
        <v>89</v>
      </c>
      <c r="J271" s="4">
        <v>0.2</v>
      </c>
      <c r="K271" s="4">
        <v>0</v>
      </c>
      <c r="L271" s="4">
        <v>3.5</v>
      </c>
      <c r="M271" s="4">
        <v>739374.56</v>
      </c>
      <c r="N271" s="4">
        <v>121032.29</v>
      </c>
    </row>
    <row r="272" spans="1:14">
      <c r="A272" s="4" t="s">
        <v>89</v>
      </c>
      <c r="B272" s="7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</v>
      </c>
      <c r="H272" s="4">
        <v>21</v>
      </c>
      <c r="I272" s="4">
        <v>87.6</v>
      </c>
      <c r="J272" s="4">
        <v>3.63</v>
      </c>
      <c r="K272" s="4">
        <v>1</v>
      </c>
      <c r="L272" s="4">
        <v>3.8</v>
      </c>
      <c r="M272" s="4">
        <v>799756.46</v>
      </c>
      <c r="N272" s="4">
        <v>105052.93</v>
      </c>
    </row>
    <row r="273" spans="1:14">
      <c r="A273" s="4" t="s">
        <v>89</v>
      </c>
      <c r="B273" s="7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 s="4">
        <v>3.2</v>
      </c>
      <c r="M273" s="4">
        <v>593343</v>
      </c>
      <c r="N273" s="4">
        <v>82832.24</v>
      </c>
    </row>
    <row r="274" spans="1:14">
      <c r="A274" s="4" t="s">
        <v>90</v>
      </c>
      <c r="B274" s="7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0.052</v>
      </c>
      <c r="H274" s="4">
        <v>17</v>
      </c>
      <c r="I274" s="4">
        <v>85.6</v>
      </c>
      <c r="J274" s="4">
        <v>6.23</v>
      </c>
      <c r="K274" s="4">
        <v>0</v>
      </c>
      <c r="L274" s="4">
        <v>3.3</v>
      </c>
      <c r="M274" s="4">
        <v>645039.97</v>
      </c>
      <c r="N274" s="4">
        <v>83093.33</v>
      </c>
    </row>
    <row r="275" spans="1:14">
      <c r="A275" s="4" t="s">
        <v>90</v>
      </c>
      <c r="B275" s="7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 s="4">
        <v>3.1</v>
      </c>
      <c r="M275" s="4">
        <v>561597.33</v>
      </c>
      <c r="N275" s="4">
        <v>75072.75</v>
      </c>
    </row>
    <row r="276" spans="1:14">
      <c r="A276" s="4" t="s">
        <v>90</v>
      </c>
      <c r="B276" s="7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0.141</v>
      </c>
      <c r="H276" s="4">
        <v>17</v>
      </c>
      <c r="I276" s="4">
        <v>89.8</v>
      </c>
      <c r="J276" s="4">
        <v>1.76</v>
      </c>
      <c r="K276" s="4">
        <v>0</v>
      </c>
      <c r="L276" s="4">
        <v>3.1</v>
      </c>
      <c r="M276" s="4">
        <v>635837.74</v>
      </c>
      <c r="N276" s="4">
        <v>114740.64</v>
      </c>
    </row>
    <row r="277" spans="1:14">
      <c r="A277" s="4" t="s">
        <v>90</v>
      </c>
      <c r="B277" s="7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77.6</v>
      </c>
      <c r="J277" s="4">
        <v>2.86</v>
      </c>
      <c r="K277" s="4">
        <v>0</v>
      </c>
      <c r="L277" s="4">
        <v>3</v>
      </c>
      <c r="M277" s="4">
        <v>686737.87</v>
      </c>
      <c r="N277" s="4">
        <v>83839.67</v>
      </c>
    </row>
    <row r="278" spans="1:14">
      <c r="A278" s="4" t="s">
        <v>91</v>
      </c>
      <c r="B278" s="7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 s="4">
        <v>3.4</v>
      </c>
      <c r="M278" s="4">
        <v>673076.34</v>
      </c>
      <c r="N278" s="4">
        <v>93899.76</v>
      </c>
    </row>
    <row r="279" spans="1:14">
      <c r="A279" s="4" t="s">
        <v>91</v>
      </c>
      <c r="B279" s="7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 s="4">
        <v>4</v>
      </c>
      <c r="M279" s="4">
        <v>738548.42</v>
      </c>
      <c r="N279" s="4">
        <v>134282.77</v>
      </c>
    </row>
    <row r="280" spans="1:14">
      <c r="A280" s="4" t="s">
        <v>91</v>
      </c>
      <c r="B280" s="7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0.213</v>
      </c>
      <c r="H280" s="4">
        <v>18</v>
      </c>
      <c r="I280" s="4">
        <v>86.5</v>
      </c>
      <c r="J280" s="4">
        <v>1.44</v>
      </c>
      <c r="K280" s="4">
        <v>0</v>
      </c>
      <c r="L280" s="4">
        <v>3.9</v>
      </c>
      <c r="M280" s="4">
        <v>756619.77</v>
      </c>
      <c r="N280" s="4">
        <v>112057.69</v>
      </c>
    </row>
    <row r="281" spans="1:14">
      <c r="A281" s="4" t="s">
        <v>91</v>
      </c>
      <c r="B281" s="7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0.004</v>
      </c>
      <c r="H281" s="4">
        <v>23</v>
      </c>
      <c r="I281" s="4">
        <v>87</v>
      </c>
      <c r="J281" s="4">
        <v>3.65</v>
      </c>
      <c r="K281" s="4">
        <v>0</v>
      </c>
      <c r="L281" s="4">
        <v>3.7</v>
      </c>
      <c r="M281" s="4">
        <v>761122.42</v>
      </c>
      <c r="N281" s="4">
        <v>149802.04</v>
      </c>
    </row>
    <row r="282" spans="1:14">
      <c r="A282" s="4" t="s">
        <v>92</v>
      </c>
      <c r="B282" s="7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0.069</v>
      </c>
      <c r="H282" s="4">
        <v>10</v>
      </c>
      <c r="I282" s="4">
        <v>83</v>
      </c>
      <c r="J282" s="4">
        <v>1.23</v>
      </c>
      <c r="K282" s="4">
        <v>1</v>
      </c>
      <c r="L282" s="4">
        <v>3.8</v>
      </c>
      <c r="M282" s="4">
        <v>524899.57</v>
      </c>
      <c r="N282" s="4">
        <v>63619.98</v>
      </c>
    </row>
    <row r="283" spans="1:14">
      <c r="A283" s="4" t="s">
        <v>92</v>
      </c>
      <c r="B283" s="7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0.051</v>
      </c>
      <c r="H283" s="4">
        <v>15</v>
      </c>
      <c r="I283" s="4">
        <v>87.9</v>
      </c>
      <c r="J283" s="4">
        <v>3.09</v>
      </c>
      <c r="K283" s="4">
        <v>0</v>
      </c>
      <c r="L283" s="4">
        <v>4</v>
      </c>
      <c r="M283" s="4">
        <v>555557.77</v>
      </c>
      <c r="N283" s="4">
        <v>86475.51</v>
      </c>
    </row>
    <row r="284" spans="1:14">
      <c r="A284" s="4" t="s">
        <v>92</v>
      </c>
      <c r="B284" s="7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0.07</v>
      </c>
      <c r="H284" s="4">
        <v>17</v>
      </c>
      <c r="I284" s="4">
        <v>95.8</v>
      </c>
      <c r="J284" s="4">
        <v>3.15</v>
      </c>
      <c r="K284" s="4">
        <v>0</v>
      </c>
      <c r="L284" s="4">
        <v>4</v>
      </c>
      <c r="M284" s="4">
        <v>714083.68</v>
      </c>
      <c r="N284" s="4">
        <v>127231.74</v>
      </c>
    </row>
    <row r="285" spans="1:14">
      <c r="A285" s="4" t="s">
        <v>92</v>
      </c>
      <c r="B285" s="7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</v>
      </c>
      <c r="J285" s="4">
        <v>6.44</v>
      </c>
      <c r="K285" s="4">
        <v>0</v>
      </c>
      <c r="L285" s="4">
        <v>4.2</v>
      </c>
      <c r="M285" s="4">
        <v>497439.82</v>
      </c>
      <c r="N285" s="4">
        <v>93372.75</v>
      </c>
    </row>
    <row r="286" spans="1:14">
      <c r="A286" s="4" t="s">
        <v>93</v>
      </c>
      <c r="B286" s="7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0.009</v>
      </c>
      <c r="H286" s="4">
        <v>13</v>
      </c>
      <c r="I286" s="4">
        <v>86.3</v>
      </c>
      <c r="J286" s="4">
        <v>0.2</v>
      </c>
      <c r="K286" s="4">
        <v>1</v>
      </c>
      <c r="L286" s="4">
        <v>4.5</v>
      </c>
      <c r="M286" s="4">
        <v>636775.66</v>
      </c>
      <c r="N286" s="4">
        <v>122636.86</v>
      </c>
    </row>
    <row r="287" spans="1:14">
      <c r="A287" s="4" t="s">
        <v>93</v>
      </c>
      <c r="B287" s="7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</v>
      </c>
      <c r="H287" s="4">
        <v>10</v>
      </c>
      <c r="I287" s="4">
        <v>90.4</v>
      </c>
      <c r="J287" s="4">
        <v>0.59</v>
      </c>
      <c r="K287" s="4">
        <v>0</v>
      </c>
      <c r="L287" s="4">
        <v>4.5</v>
      </c>
      <c r="M287" s="4">
        <v>633009.53</v>
      </c>
      <c r="N287" s="4">
        <v>123782.67</v>
      </c>
    </row>
    <row r="288" spans="1:14">
      <c r="A288" s="4" t="s">
        <v>93</v>
      </c>
      <c r="B288" s="7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 s="4">
        <v>4.2</v>
      </c>
      <c r="M288" s="4">
        <v>609949</v>
      </c>
      <c r="N288" s="4">
        <v>126789.25</v>
      </c>
    </row>
    <row r="289" spans="1:14">
      <c r="A289" s="4" t="s">
        <v>93</v>
      </c>
      <c r="B289" s="7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0.174</v>
      </c>
      <c r="H289" s="4">
        <v>13</v>
      </c>
      <c r="I289" s="4">
        <v>82.4</v>
      </c>
      <c r="J289" s="4">
        <v>1.36</v>
      </c>
      <c r="K289" s="4">
        <v>0</v>
      </c>
      <c r="L289" s="4">
        <v>4.8</v>
      </c>
      <c r="M289" s="4">
        <v>548103.7</v>
      </c>
      <c r="N289" s="4">
        <v>99905.52</v>
      </c>
    </row>
    <row r="290" spans="1:14">
      <c r="A290" s="4" t="s">
        <v>94</v>
      </c>
      <c r="B290" s="7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</v>
      </c>
      <c r="H290" s="4">
        <v>23</v>
      </c>
      <c r="I290" s="4">
        <v>72.9</v>
      </c>
      <c r="J290" s="4">
        <v>3.34</v>
      </c>
      <c r="K290" s="4">
        <v>0</v>
      </c>
      <c r="L290" s="4">
        <v>3.7</v>
      </c>
      <c r="M290" s="4">
        <v>729424.42</v>
      </c>
      <c r="N290" s="4">
        <v>75592.28</v>
      </c>
    </row>
    <row r="291" spans="1:14">
      <c r="A291" s="4" t="s">
        <v>94</v>
      </c>
      <c r="B291" s="7">
        <v>45689</v>
      </c>
      <c r="C291" s="4" t="s">
        <v>15</v>
      </c>
      <c r="D291" s="4" t="s">
        <v>16</v>
      </c>
      <c r="E291" s="4">
        <v>68909.26</v>
      </c>
      <c r="F291" s="4">
        <v>7794</v>
      </c>
      <c r="G291" s="4">
        <v>0.284</v>
      </c>
      <c r="H291" s="4">
        <v>22</v>
      </c>
      <c r="I291" s="4">
        <v>89</v>
      </c>
      <c r="J291" s="4">
        <v>0.33</v>
      </c>
      <c r="K291" s="4">
        <v>0</v>
      </c>
      <c r="L291" s="4">
        <v>4</v>
      </c>
      <c r="M291" s="4">
        <v>696261.49</v>
      </c>
      <c r="N291" s="4">
        <v>72455.35</v>
      </c>
    </row>
    <row r="292" spans="1:14">
      <c r="A292" s="4" t="s">
        <v>94</v>
      </c>
      <c r="B292" s="7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0.032</v>
      </c>
      <c r="H292" s="4">
        <v>21</v>
      </c>
      <c r="I292" s="4">
        <v>83.2</v>
      </c>
      <c r="J292" s="4">
        <v>3.44</v>
      </c>
      <c r="K292" s="4">
        <v>1</v>
      </c>
      <c r="L292" s="4">
        <v>4.3</v>
      </c>
      <c r="M292" s="4">
        <v>813316.71</v>
      </c>
      <c r="N292" s="4">
        <v>110077.42</v>
      </c>
    </row>
    <row r="293" spans="1:14">
      <c r="A293" s="4" t="s">
        <v>94</v>
      </c>
      <c r="B293" s="7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 s="4">
        <v>4.1</v>
      </c>
      <c r="M293" s="4">
        <v>702068.92</v>
      </c>
      <c r="N293" s="4">
        <v>111266.63</v>
      </c>
    </row>
    <row r="294" spans="1:14">
      <c r="A294" s="4" t="s">
        <v>95</v>
      </c>
      <c r="B294" s="7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0.096</v>
      </c>
      <c r="H294" s="4">
        <v>8</v>
      </c>
      <c r="I294" s="4">
        <v>86.7</v>
      </c>
      <c r="J294" s="4">
        <v>6.04</v>
      </c>
      <c r="K294" s="4">
        <v>0</v>
      </c>
      <c r="L294" s="4">
        <v>4.5</v>
      </c>
      <c r="M294" s="4">
        <v>546223.7</v>
      </c>
      <c r="N294" s="4">
        <v>100769.17</v>
      </c>
    </row>
    <row r="295" spans="1:14">
      <c r="A295" s="4" t="s">
        <v>95</v>
      </c>
      <c r="B295" s="7">
        <v>45689</v>
      </c>
      <c r="C295" s="4" t="s">
        <v>27</v>
      </c>
      <c r="D295" s="4" t="s">
        <v>18</v>
      </c>
      <c r="E295" s="4">
        <v>40102.88</v>
      </c>
      <c r="F295" s="4">
        <v>2358</v>
      </c>
      <c r="G295" s="4">
        <v>0.119</v>
      </c>
      <c r="H295" s="4">
        <v>9</v>
      </c>
      <c r="I295" s="4">
        <v>88.7</v>
      </c>
      <c r="J295" s="4">
        <v>1.6</v>
      </c>
      <c r="K295" s="4">
        <v>0</v>
      </c>
      <c r="L295" s="4">
        <v>4.2</v>
      </c>
      <c r="M295" s="4">
        <v>533121.26</v>
      </c>
      <c r="N295" s="4">
        <v>55063.39</v>
      </c>
    </row>
    <row r="296" spans="1:14">
      <c r="A296" s="4" t="s">
        <v>95</v>
      </c>
      <c r="B296" s="7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</v>
      </c>
      <c r="K296" s="4">
        <v>0</v>
      </c>
      <c r="L296" s="4">
        <v>4.7</v>
      </c>
      <c r="M296" s="4">
        <v>498970.32</v>
      </c>
      <c r="N296" s="4">
        <v>69656.7</v>
      </c>
    </row>
    <row r="297" spans="1:14">
      <c r="A297" s="4" t="s">
        <v>95</v>
      </c>
      <c r="B297" s="7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</v>
      </c>
      <c r="H297" s="4">
        <v>9</v>
      </c>
      <c r="I297" s="4">
        <v>81</v>
      </c>
      <c r="J297" s="4">
        <v>0.74</v>
      </c>
      <c r="K297" s="4">
        <v>0</v>
      </c>
      <c r="L297" s="4">
        <v>4.6</v>
      </c>
      <c r="M297" s="4">
        <v>487738.26</v>
      </c>
      <c r="N297" s="4">
        <v>96435.6</v>
      </c>
    </row>
    <row r="298" spans="1:14">
      <c r="A298" s="4" t="s">
        <v>96</v>
      </c>
      <c r="B298" s="7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0.036</v>
      </c>
      <c r="H298" s="4">
        <v>12</v>
      </c>
      <c r="I298" s="4">
        <v>93.1</v>
      </c>
      <c r="J298" s="4">
        <v>6.13</v>
      </c>
      <c r="K298" s="4">
        <v>0</v>
      </c>
      <c r="L298" s="4">
        <v>3.3</v>
      </c>
      <c r="M298" s="4">
        <v>668459.37</v>
      </c>
      <c r="N298" s="4">
        <v>126435.42</v>
      </c>
    </row>
    <row r="299" spans="1:14">
      <c r="A299" s="4" t="s">
        <v>96</v>
      </c>
      <c r="B299" s="7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0.102</v>
      </c>
      <c r="H299" s="4">
        <v>14</v>
      </c>
      <c r="I299" s="4">
        <v>96.2</v>
      </c>
      <c r="J299" s="4">
        <v>1.41</v>
      </c>
      <c r="K299" s="4">
        <v>0</v>
      </c>
      <c r="L299" s="4">
        <v>3.3</v>
      </c>
      <c r="M299" s="4">
        <v>763162.45</v>
      </c>
      <c r="N299" s="4">
        <v>162524.05</v>
      </c>
    </row>
    <row r="300" spans="1:14">
      <c r="A300" s="4" t="s">
        <v>96</v>
      </c>
      <c r="B300" s="7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 s="4">
        <v>3.1</v>
      </c>
      <c r="M300" s="4">
        <v>599017.33</v>
      </c>
      <c r="N300" s="4">
        <v>134009.92</v>
      </c>
    </row>
    <row r="301" spans="1:14">
      <c r="A301" s="4" t="s">
        <v>96</v>
      </c>
      <c r="B301" s="7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</v>
      </c>
      <c r="H301" s="4">
        <v>6</v>
      </c>
      <c r="I301" s="4">
        <v>89.3</v>
      </c>
      <c r="J301" s="4">
        <v>15.06</v>
      </c>
      <c r="K301" s="4">
        <v>0</v>
      </c>
      <c r="L301" s="4">
        <v>3.2</v>
      </c>
      <c r="M301" s="4">
        <v>401582.58</v>
      </c>
      <c r="N301" s="4">
        <v>68454.93</v>
      </c>
    </row>
    <row r="302" spans="1:14">
      <c r="A302" s="4" t="s">
        <v>97</v>
      </c>
      <c r="B302" s="7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0.141</v>
      </c>
      <c r="H302" s="4">
        <v>22</v>
      </c>
      <c r="I302" s="4">
        <v>88.2</v>
      </c>
      <c r="J302" s="4">
        <v>5.07</v>
      </c>
      <c r="K302" s="4">
        <v>1</v>
      </c>
      <c r="L302" s="4">
        <v>4.1</v>
      </c>
      <c r="M302" s="4">
        <v>703812.99</v>
      </c>
      <c r="N302" s="4">
        <v>133577.98</v>
      </c>
    </row>
    <row r="303" spans="1:14">
      <c r="A303" s="4" t="s">
        <v>97</v>
      </c>
      <c r="B303" s="7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0.074</v>
      </c>
      <c r="H303" s="4">
        <v>20</v>
      </c>
      <c r="I303" s="4">
        <v>83.3</v>
      </c>
      <c r="J303" s="4">
        <v>3.6</v>
      </c>
      <c r="K303" s="4">
        <v>0</v>
      </c>
      <c r="L303" s="4">
        <v>3.7</v>
      </c>
      <c r="M303" s="4">
        <v>724346.73</v>
      </c>
      <c r="N303" s="4">
        <v>155013.91</v>
      </c>
    </row>
    <row r="304" spans="1:14">
      <c r="A304" s="4" t="s">
        <v>97</v>
      </c>
      <c r="B304" s="7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</v>
      </c>
      <c r="H304" s="4">
        <v>19</v>
      </c>
      <c r="I304" s="4">
        <v>87.3</v>
      </c>
      <c r="J304" s="4">
        <v>4.39</v>
      </c>
      <c r="K304" s="4">
        <v>1</v>
      </c>
      <c r="L304" s="4">
        <v>4.7</v>
      </c>
      <c r="M304" s="4">
        <v>730890.01</v>
      </c>
      <c r="N304" s="4">
        <v>105502.56</v>
      </c>
    </row>
    <row r="305" spans="1:14">
      <c r="A305" s="4" t="s">
        <v>97</v>
      </c>
      <c r="B305" s="7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</v>
      </c>
      <c r="H305" s="4">
        <v>18</v>
      </c>
      <c r="I305" s="4">
        <v>93</v>
      </c>
      <c r="J305" s="4">
        <v>2.79</v>
      </c>
      <c r="K305" s="4">
        <v>0</v>
      </c>
      <c r="L305" s="4">
        <v>4.2</v>
      </c>
      <c r="M305" s="4">
        <v>780580.95</v>
      </c>
      <c r="N305" s="4">
        <v>138144.46</v>
      </c>
    </row>
    <row r="306" spans="1:14">
      <c r="A306" s="4" t="s">
        <v>98</v>
      </c>
      <c r="B306" s="7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 s="4">
        <v>4</v>
      </c>
      <c r="M306" s="4">
        <v>727957.48</v>
      </c>
      <c r="N306" s="4">
        <v>74805.23</v>
      </c>
    </row>
    <row r="307" spans="1:14">
      <c r="A307" s="4" t="s">
        <v>98</v>
      </c>
      <c r="B307" s="7">
        <v>45689</v>
      </c>
      <c r="C307" s="4" t="s">
        <v>24</v>
      </c>
      <c r="D307" s="4" t="s">
        <v>16</v>
      </c>
      <c r="E307" s="4">
        <v>46146.24</v>
      </c>
      <c r="F307" s="4">
        <v>5804</v>
      </c>
      <c r="G307" s="4">
        <v>0.047</v>
      </c>
      <c r="H307" s="4">
        <v>16</v>
      </c>
      <c r="I307" s="4">
        <v>86.9</v>
      </c>
      <c r="J307" s="4">
        <v>15.82</v>
      </c>
      <c r="K307" s="4">
        <v>0</v>
      </c>
      <c r="L307" s="4">
        <v>3.8</v>
      </c>
      <c r="M307" s="4">
        <v>538376</v>
      </c>
      <c r="N307" s="4">
        <v>87605.62</v>
      </c>
    </row>
    <row r="308" spans="1:14">
      <c r="A308" s="4" t="s">
        <v>98</v>
      </c>
      <c r="B308" s="7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0.146</v>
      </c>
      <c r="H308" s="4">
        <v>14</v>
      </c>
      <c r="I308" s="4">
        <v>85.9</v>
      </c>
      <c r="J308" s="4">
        <v>1.17</v>
      </c>
      <c r="K308" s="4">
        <v>1</v>
      </c>
      <c r="L308" s="4">
        <v>3.7</v>
      </c>
      <c r="M308" s="4">
        <v>665342.49</v>
      </c>
      <c r="N308" s="4">
        <v>93441.81</v>
      </c>
    </row>
    <row r="309" spans="1:14">
      <c r="A309" s="4" t="s">
        <v>98</v>
      </c>
      <c r="B309" s="7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0.075</v>
      </c>
      <c r="H309" s="4">
        <v>16</v>
      </c>
      <c r="I309" s="4">
        <v>99</v>
      </c>
      <c r="J309" s="4">
        <v>3.82</v>
      </c>
      <c r="K309" s="4">
        <v>0</v>
      </c>
      <c r="L309" s="4">
        <v>3.5</v>
      </c>
      <c r="M309" s="4">
        <v>651164.18</v>
      </c>
      <c r="N309" s="4">
        <v>109466.5</v>
      </c>
    </row>
    <row r="310" spans="1:14">
      <c r="A310" s="4" t="s">
        <v>99</v>
      </c>
      <c r="B310" s="7">
        <v>45658</v>
      </c>
      <c r="C310" s="4" t="s">
        <v>24</v>
      </c>
      <c r="D310" s="4" t="s">
        <v>18</v>
      </c>
      <c r="E310" s="4">
        <v>48465.6</v>
      </c>
      <c r="F310" s="4">
        <v>5759</v>
      </c>
      <c r="G310" s="4">
        <v>0.154</v>
      </c>
      <c r="H310" s="4">
        <v>13</v>
      </c>
      <c r="I310" s="4">
        <v>87.5</v>
      </c>
      <c r="J310" s="4">
        <v>4.14</v>
      </c>
      <c r="K310" s="4">
        <v>0</v>
      </c>
      <c r="L310" s="4">
        <v>4</v>
      </c>
      <c r="M310" s="4">
        <v>628538.3</v>
      </c>
      <c r="N310" s="4">
        <v>112509.15</v>
      </c>
    </row>
    <row r="311" spans="1:14">
      <c r="A311" s="4" t="s">
        <v>99</v>
      </c>
      <c r="B311" s="7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</v>
      </c>
      <c r="H311" s="4">
        <v>14</v>
      </c>
      <c r="I311" s="4">
        <v>79.7</v>
      </c>
      <c r="J311" s="4">
        <v>1.1</v>
      </c>
      <c r="K311" s="4">
        <v>0</v>
      </c>
      <c r="L311" s="4">
        <v>4.3</v>
      </c>
      <c r="M311" s="4">
        <v>536524.84</v>
      </c>
      <c r="N311" s="4">
        <v>92752.94</v>
      </c>
    </row>
    <row r="312" spans="1:14">
      <c r="A312" s="4" t="s">
        <v>99</v>
      </c>
      <c r="B312" s="7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 s="4">
        <v>4.2</v>
      </c>
      <c r="M312" s="4">
        <v>621677.3</v>
      </c>
      <c r="N312" s="4">
        <v>105192.52</v>
      </c>
    </row>
    <row r="313" spans="1:14">
      <c r="A313" s="4" t="s">
        <v>99</v>
      </c>
      <c r="B313" s="7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0.142</v>
      </c>
      <c r="H313" s="4">
        <v>20</v>
      </c>
      <c r="I313" s="4">
        <v>89</v>
      </c>
      <c r="J313" s="4">
        <v>0.9</v>
      </c>
      <c r="K313" s="4">
        <v>0</v>
      </c>
      <c r="L313" s="4"/>
      <c r="M313" s="4">
        <v>771129.07</v>
      </c>
      <c r="N313" s="4">
        <v>116851.13</v>
      </c>
    </row>
    <row r="314" spans="1:14">
      <c r="A314" s="4" t="s">
        <v>100</v>
      </c>
      <c r="B314" s="7">
        <v>45658</v>
      </c>
      <c r="C314" s="4" t="s">
        <v>20</v>
      </c>
      <c r="D314" s="4" t="s">
        <v>16</v>
      </c>
      <c r="E314" s="4">
        <v>78967.52</v>
      </c>
      <c r="F314" s="4">
        <v>6164</v>
      </c>
      <c r="G314" s="4">
        <v>0.021</v>
      </c>
      <c r="H314" s="4">
        <v>16</v>
      </c>
      <c r="I314" s="4">
        <v>85.5</v>
      </c>
      <c r="J314" s="4">
        <v>0.2</v>
      </c>
      <c r="K314" s="4">
        <v>0</v>
      </c>
      <c r="L314" s="4">
        <v>3.4</v>
      </c>
      <c r="M314" s="4">
        <v>702052.47</v>
      </c>
      <c r="N314" s="4">
        <v>121732.51</v>
      </c>
    </row>
    <row r="315" spans="1:14">
      <c r="A315" s="4" t="s">
        <v>100</v>
      </c>
      <c r="B315" s="7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 s="4"/>
      <c r="M315" s="4">
        <v>688368.46</v>
      </c>
      <c r="N315" s="4">
        <v>93588.42</v>
      </c>
    </row>
    <row r="316" spans="1:14">
      <c r="A316" s="4" t="s">
        <v>100</v>
      </c>
      <c r="B316" s="7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0.091</v>
      </c>
      <c r="H316" s="4">
        <v>14</v>
      </c>
      <c r="I316" s="4">
        <v>98.2</v>
      </c>
      <c r="J316" s="4">
        <v>4.38</v>
      </c>
      <c r="K316" s="4">
        <v>1</v>
      </c>
      <c r="L316" s="4">
        <v>3.9</v>
      </c>
      <c r="M316" s="4">
        <v>712375.77</v>
      </c>
      <c r="N316" s="4">
        <v>104171.53</v>
      </c>
    </row>
    <row r="317" spans="1:14">
      <c r="A317" s="4" t="s">
        <v>100</v>
      </c>
      <c r="B317" s="7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</v>
      </c>
      <c r="K317" s="4">
        <v>0</v>
      </c>
      <c r="L317" s="4">
        <v>4.2</v>
      </c>
      <c r="M317" s="4">
        <v>844710.67</v>
      </c>
      <c r="N317" s="4">
        <v>137140.18</v>
      </c>
    </row>
    <row r="318" spans="1:14">
      <c r="A318" s="4" t="s">
        <v>101</v>
      </c>
      <c r="B318" s="7">
        <v>45658</v>
      </c>
      <c r="C318" s="4" t="s">
        <v>15</v>
      </c>
      <c r="D318" s="4" t="s">
        <v>16</v>
      </c>
      <c r="E318" s="4">
        <v>76614.32</v>
      </c>
      <c r="F318" s="4">
        <v>5639</v>
      </c>
      <c r="G318" s="4">
        <v>0.174</v>
      </c>
      <c r="H318" s="4">
        <v>15</v>
      </c>
      <c r="I318" s="4">
        <v>92.9</v>
      </c>
      <c r="J318" s="4">
        <v>1.02</v>
      </c>
      <c r="K318" s="4">
        <v>1</v>
      </c>
      <c r="L318" s="4">
        <v>4</v>
      </c>
      <c r="M318" s="4">
        <v>620264.2</v>
      </c>
      <c r="N318" s="4">
        <v>91365.64</v>
      </c>
    </row>
    <row r="319" spans="1:14">
      <c r="A319" s="4" t="s">
        <v>101</v>
      </c>
      <c r="B319" s="7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 s="4">
        <v>3.8</v>
      </c>
      <c r="M319" s="4">
        <v>536845.42</v>
      </c>
      <c r="N319" s="4">
        <v>107473.75</v>
      </c>
    </row>
    <row r="320" spans="1:14">
      <c r="A320" s="4" t="s">
        <v>101</v>
      </c>
      <c r="B320" s="7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4.89</v>
      </c>
      <c r="K320" s="4">
        <v>1</v>
      </c>
      <c r="L320" s="4">
        <v>4.2</v>
      </c>
      <c r="M320" s="4">
        <v>726776.22</v>
      </c>
      <c r="N320" s="4">
        <v>90804.49</v>
      </c>
    </row>
    <row r="321" spans="1:14">
      <c r="A321" s="4" t="s">
        <v>101</v>
      </c>
      <c r="B321" s="7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</v>
      </c>
      <c r="H321" s="4">
        <v>17</v>
      </c>
      <c r="I321" s="4">
        <v>84.3</v>
      </c>
      <c r="J321" s="4">
        <v>11.82</v>
      </c>
      <c r="K321" s="4">
        <v>0</v>
      </c>
      <c r="L321" s="4">
        <v>4.1</v>
      </c>
      <c r="M321" s="4">
        <v>559660.84</v>
      </c>
      <c r="N321" s="4">
        <v>71443.61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1"/>
  <sheetViews>
    <sheetView workbookViewId="0">
      <selection activeCell="E19" sqref="E19"/>
    </sheetView>
  </sheetViews>
  <sheetFormatPr defaultColWidth="9" defaultRowHeight="14.25"/>
  <cols>
    <col min="15" max="15" width="16.75" customWidth="1"/>
    <col min="16" max="16" width="18.25" customWidth="1"/>
    <col min="17" max="17" width="13.5" customWidth="1"/>
  </cols>
  <sheetData>
    <row r="1" ht="4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102</v>
      </c>
      <c r="P1" t="s">
        <v>103</v>
      </c>
      <c r="Q1" t="s">
        <v>104</v>
      </c>
    </row>
    <row r="2" spans="1:17">
      <c r="A2" s="4" t="s">
        <v>14</v>
      </c>
      <c r="B2" s="7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0.042</v>
      </c>
      <c r="H2" s="4">
        <v>17</v>
      </c>
      <c r="I2" s="4">
        <v>75</v>
      </c>
      <c r="J2" s="4">
        <v>5.28</v>
      </c>
      <c r="K2" s="4">
        <v>1</v>
      </c>
      <c r="L2" s="4">
        <v>3.1</v>
      </c>
      <c r="M2" s="4">
        <v>658832.62</v>
      </c>
      <c r="N2" s="4">
        <v>84349.93</v>
      </c>
      <c r="O2">
        <f>IF(C2="East",1,0)</f>
        <v>1</v>
      </c>
      <c r="P2">
        <f>IF(C2="North",1,0)</f>
        <v>0</v>
      </c>
      <c r="Q2">
        <f>IF(C2="South",1,0)</f>
        <v>0</v>
      </c>
    </row>
    <row r="3" spans="1:17">
      <c r="A3" s="4" t="s">
        <v>14</v>
      </c>
      <c r="B3" s="7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</v>
      </c>
      <c r="H3" s="4">
        <v>23</v>
      </c>
      <c r="I3" s="4">
        <v>84.4</v>
      </c>
      <c r="J3" s="4">
        <v>4.31</v>
      </c>
      <c r="K3" s="4">
        <v>0</v>
      </c>
      <c r="L3" s="4">
        <v>2.8</v>
      </c>
      <c r="M3" s="4">
        <v>634436</v>
      </c>
      <c r="N3" s="4">
        <v>106130.54</v>
      </c>
      <c r="O3">
        <f t="shared" ref="O3:O66" si="0">IF(C3="East",1,0)</f>
        <v>1</v>
      </c>
      <c r="P3">
        <f t="shared" ref="P3:P66" si="1">IF(C3="North",1,0)</f>
        <v>0</v>
      </c>
      <c r="Q3">
        <f t="shared" ref="Q3:Q21" si="2">IF(C3="South",1,0)</f>
        <v>0</v>
      </c>
    </row>
    <row r="4" spans="1:17">
      <c r="A4" s="4" t="s">
        <v>14</v>
      </c>
      <c r="B4" s="7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</v>
      </c>
      <c r="H4" s="4">
        <v>20</v>
      </c>
      <c r="I4" s="4">
        <v>88</v>
      </c>
      <c r="J4" s="4">
        <v>12</v>
      </c>
      <c r="K4" s="4">
        <v>0</v>
      </c>
      <c r="L4" s="4">
        <v>3.2</v>
      </c>
      <c r="M4" s="4">
        <v>678722.06</v>
      </c>
      <c r="N4" s="4">
        <v>101883.86</v>
      </c>
      <c r="O4">
        <f t="shared" si="0"/>
        <v>1</v>
      </c>
      <c r="P4">
        <f t="shared" si="1"/>
        <v>0</v>
      </c>
      <c r="Q4">
        <f t="shared" si="2"/>
        <v>0</v>
      </c>
    </row>
    <row r="5" spans="1:17">
      <c r="A5" s="4" t="s">
        <v>14</v>
      </c>
      <c r="B5" s="7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0.142</v>
      </c>
      <c r="H5" s="4">
        <v>23</v>
      </c>
      <c r="I5" s="4">
        <v>86.9</v>
      </c>
      <c r="J5" s="4">
        <v>4.97</v>
      </c>
      <c r="K5" s="4">
        <v>0</v>
      </c>
      <c r="L5" s="4">
        <v>3.4</v>
      </c>
      <c r="M5" s="4">
        <v>658920.3</v>
      </c>
      <c r="N5" s="4">
        <v>97910.37</v>
      </c>
      <c r="O5">
        <f t="shared" si="0"/>
        <v>1</v>
      </c>
      <c r="P5">
        <f t="shared" si="1"/>
        <v>0</v>
      </c>
      <c r="Q5">
        <f t="shared" si="2"/>
        <v>0</v>
      </c>
    </row>
    <row r="6" spans="1:17">
      <c r="A6" s="4" t="s">
        <v>17</v>
      </c>
      <c r="B6" s="7">
        <v>45658</v>
      </c>
      <c r="C6" s="4" t="s">
        <v>15</v>
      </c>
      <c r="D6" s="4" t="s">
        <v>18</v>
      </c>
      <c r="E6" s="4">
        <v>48412.64</v>
      </c>
      <c r="F6" s="4">
        <v>9545</v>
      </c>
      <c r="G6" s="4">
        <v>0.231</v>
      </c>
      <c r="H6" s="4">
        <v>21</v>
      </c>
      <c r="I6" s="4">
        <v>97.6</v>
      </c>
      <c r="J6" s="4">
        <v>6.94</v>
      </c>
      <c r="K6" s="4">
        <v>1</v>
      </c>
      <c r="L6" s="4">
        <v>4.2</v>
      </c>
      <c r="M6" s="4">
        <v>741341.44</v>
      </c>
      <c r="N6" s="4">
        <v>119208.17</v>
      </c>
      <c r="O6">
        <f t="shared" si="0"/>
        <v>1</v>
      </c>
      <c r="P6">
        <f t="shared" si="1"/>
        <v>0</v>
      </c>
      <c r="Q6">
        <f t="shared" si="2"/>
        <v>0</v>
      </c>
    </row>
    <row r="7" spans="1:17">
      <c r="A7" s="4" t="s">
        <v>17</v>
      </c>
      <c r="B7" s="7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 s="4">
        <v>4.2</v>
      </c>
      <c r="M7" s="4">
        <v>761835.34</v>
      </c>
      <c r="N7" s="4">
        <v>149602.23</v>
      </c>
      <c r="O7">
        <f t="shared" si="0"/>
        <v>1</v>
      </c>
      <c r="P7">
        <f t="shared" si="1"/>
        <v>0</v>
      </c>
      <c r="Q7">
        <f t="shared" si="2"/>
        <v>0</v>
      </c>
    </row>
    <row r="8" spans="1:17">
      <c r="A8" s="4" t="s">
        <v>17</v>
      </c>
      <c r="B8" s="7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 s="4">
        <v>4.1</v>
      </c>
      <c r="M8" s="4">
        <v>806615.54</v>
      </c>
      <c r="N8" s="4">
        <v>131364.62</v>
      </c>
      <c r="O8">
        <f t="shared" si="0"/>
        <v>1</v>
      </c>
      <c r="P8">
        <f t="shared" si="1"/>
        <v>0</v>
      </c>
      <c r="Q8">
        <f t="shared" si="2"/>
        <v>0</v>
      </c>
    </row>
    <row r="9" spans="1:17">
      <c r="A9" s="4" t="s">
        <v>17</v>
      </c>
      <c r="B9" s="7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 s="4">
        <v>3.9</v>
      </c>
      <c r="M9" s="4">
        <v>850164.26</v>
      </c>
      <c r="N9" s="4">
        <v>149262.75</v>
      </c>
      <c r="O9">
        <f t="shared" si="0"/>
        <v>1</v>
      </c>
      <c r="P9">
        <f t="shared" si="1"/>
        <v>0</v>
      </c>
      <c r="Q9">
        <f t="shared" si="2"/>
        <v>0</v>
      </c>
    </row>
    <row r="10" spans="1:17">
      <c r="A10" s="4" t="s">
        <v>19</v>
      </c>
      <c r="B10" s="7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 s="4">
        <v>3.8</v>
      </c>
      <c r="M10" s="4">
        <v>930581.7</v>
      </c>
      <c r="N10" s="4">
        <v>136207.98</v>
      </c>
      <c r="O10">
        <f t="shared" si="0"/>
        <v>0</v>
      </c>
      <c r="P10">
        <f t="shared" si="1"/>
        <v>1</v>
      </c>
      <c r="Q10">
        <f t="shared" si="2"/>
        <v>0</v>
      </c>
    </row>
    <row r="11" spans="1:17">
      <c r="A11" s="4" t="s">
        <v>19</v>
      </c>
      <c r="B11" s="7">
        <v>45689</v>
      </c>
      <c r="C11" s="4" t="s">
        <v>20</v>
      </c>
      <c r="D11" s="4" t="s">
        <v>21</v>
      </c>
      <c r="E11" s="4">
        <v>68133.44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 s="4">
        <v>4.2</v>
      </c>
      <c r="M11" s="4">
        <v>779010.94</v>
      </c>
      <c r="N11" s="4">
        <v>106328.09</v>
      </c>
      <c r="O11">
        <f t="shared" si="0"/>
        <v>0</v>
      </c>
      <c r="P11">
        <f t="shared" si="1"/>
        <v>1</v>
      </c>
      <c r="Q11">
        <f t="shared" si="2"/>
        <v>0</v>
      </c>
    </row>
    <row r="12" spans="1:17">
      <c r="A12" s="4" t="s">
        <v>19</v>
      </c>
      <c r="B12" s="7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0.213</v>
      </c>
      <c r="H12" s="4">
        <v>22</v>
      </c>
      <c r="I12" s="4">
        <v>88.3</v>
      </c>
      <c r="J12" s="4">
        <v>10.46</v>
      </c>
      <c r="K12" s="4">
        <v>1</v>
      </c>
      <c r="L12" s="4">
        <v>3.8</v>
      </c>
      <c r="M12" s="4">
        <v>723060.76</v>
      </c>
      <c r="N12" s="4">
        <v>123131.24</v>
      </c>
      <c r="O12">
        <f t="shared" si="0"/>
        <v>0</v>
      </c>
      <c r="P12">
        <f t="shared" si="1"/>
        <v>1</v>
      </c>
      <c r="Q12">
        <f t="shared" si="2"/>
        <v>0</v>
      </c>
    </row>
    <row r="13" spans="1:17">
      <c r="A13" s="4" t="s">
        <v>19</v>
      </c>
      <c r="B13" s="7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0.002</v>
      </c>
      <c r="H13" s="4">
        <v>28</v>
      </c>
      <c r="I13" s="4">
        <v>85.3</v>
      </c>
      <c r="J13" s="4">
        <v>7.16</v>
      </c>
      <c r="K13" s="4">
        <v>0</v>
      </c>
      <c r="L13" s="4">
        <v>3.8</v>
      </c>
      <c r="M13" s="4">
        <v>910791.94</v>
      </c>
      <c r="N13" s="4">
        <v>158891.28</v>
      </c>
      <c r="O13">
        <f t="shared" si="0"/>
        <v>0</v>
      </c>
      <c r="P13">
        <f t="shared" si="1"/>
        <v>1</v>
      </c>
      <c r="Q13">
        <f t="shared" si="2"/>
        <v>0</v>
      </c>
    </row>
    <row r="14" spans="1:17">
      <c r="A14" s="4" t="s">
        <v>22</v>
      </c>
      <c r="B14" s="7">
        <v>45658</v>
      </c>
      <c r="C14" s="4" t="s">
        <v>15</v>
      </c>
      <c r="D14" s="4" t="s">
        <v>16</v>
      </c>
      <c r="E14" s="4">
        <v>71828.26</v>
      </c>
      <c r="F14" s="4">
        <v>12775</v>
      </c>
      <c r="G14" s="4">
        <v>0.116</v>
      </c>
      <c r="H14" s="4">
        <v>30</v>
      </c>
      <c r="I14" s="4">
        <v>81.7</v>
      </c>
      <c r="J14" s="4">
        <v>4.24</v>
      </c>
      <c r="K14" s="4">
        <v>1</v>
      </c>
      <c r="L14" s="4">
        <v>4.2</v>
      </c>
      <c r="M14" s="4">
        <v>922168.6</v>
      </c>
      <c r="N14" s="4">
        <v>107494.53</v>
      </c>
      <c r="O14">
        <f t="shared" si="0"/>
        <v>1</v>
      </c>
      <c r="P14">
        <f t="shared" si="1"/>
        <v>0</v>
      </c>
      <c r="Q14">
        <f t="shared" si="2"/>
        <v>0</v>
      </c>
    </row>
    <row r="15" spans="1:17">
      <c r="A15" s="4" t="s">
        <v>22</v>
      </c>
      <c r="B15" s="7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0.146</v>
      </c>
      <c r="H15" s="4">
        <v>24</v>
      </c>
      <c r="I15" s="4">
        <v>84.9</v>
      </c>
      <c r="J15" s="4">
        <v>1.06</v>
      </c>
      <c r="K15" s="4">
        <v>0</v>
      </c>
      <c r="L15" s="4">
        <v>4.3</v>
      </c>
      <c r="M15" s="4">
        <v>726606.28</v>
      </c>
      <c r="N15" s="4">
        <v>122729.29</v>
      </c>
      <c r="O15">
        <f t="shared" si="0"/>
        <v>1</v>
      </c>
      <c r="P15">
        <f t="shared" si="1"/>
        <v>0</v>
      </c>
      <c r="Q15">
        <f t="shared" si="2"/>
        <v>0</v>
      </c>
    </row>
    <row r="16" spans="1:17">
      <c r="A16" s="4" t="s">
        <v>22</v>
      </c>
      <c r="B16" s="7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</v>
      </c>
      <c r="H16" s="4">
        <v>23</v>
      </c>
      <c r="I16" s="4">
        <v>88.8</v>
      </c>
      <c r="J16" s="4">
        <v>0.27</v>
      </c>
      <c r="K16" s="4">
        <v>0</v>
      </c>
      <c r="L16" s="4">
        <v>4.3</v>
      </c>
      <c r="M16" s="4">
        <v>746501.09</v>
      </c>
      <c r="N16" s="4">
        <v>136816.72</v>
      </c>
      <c r="O16">
        <f t="shared" si="0"/>
        <v>1</v>
      </c>
      <c r="P16">
        <f t="shared" si="1"/>
        <v>0</v>
      </c>
      <c r="Q16">
        <f t="shared" si="2"/>
        <v>0</v>
      </c>
    </row>
    <row r="17" spans="1:17">
      <c r="A17" s="4" t="s">
        <v>22</v>
      </c>
      <c r="B17" s="7">
        <v>45748</v>
      </c>
      <c r="C17" s="4" t="s">
        <v>15</v>
      </c>
      <c r="D17" s="4" t="s">
        <v>16</v>
      </c>
      <c r="E17" s="4">
        <v>75305.71</v>
      </c>
      <c r="F17" s="4">
        <v>10940</v>
      </c>
      <c r="G17" s="4">
        <v>0.006</v>
      </c>
      <c r="H17" s="4">
        <v>26</v>
      </c>
      <c r="I17" s="4">
        <v>76.5</v>
      </c>
      <c r="J17" s="4">
        <v>1.32</v>
      </c>
      <c r="K17" s="4">
        <v>0</v>
      </c>
      <c r="L17" s="4">
        <v>4.5</v>
      </c>
      <c r="M17" s="4">
        <v>834017.02</v>
      </c>
      <c r="N17" s="4">
        <v>114745.03</v>
      </c>
      <c r="O17">
        <f t="shared" si="0"/>
        <v>1</v>
      </c>
      <c r="P17">
        <f t="shared" si="1"/>
        <v>0</v>
      </c>
      <c r="Q17">
        <f t="shared" si="2"/>
        <v>0</v>
      </c>
    </row>
    <row r="18" spans="1:17">
      <c r="A18" s="4" t="s">
        <v>23</v>
      </c>
      <c r="B18" s="7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0.005</v>
      </c>
      <c r="H18" s="4">
        <v>15</v>
      </c>
      <c r="I18" s="4">
        <v>87.7</v>
      </c>
      <c r="J18" s="4">
        <v>1.22</v>
      </c>
      <c r="K18" s="4">
        <v>0</v>
      </c>
      <c r="L18" s="4">
        <v>3.7</v>
      </c>
      <c r="M18" s="4">
        <v>666152.52</v>
      </c>
      <c r="N18" s="4">
        <v>107490.58</v>
      </c>
      <c r="O18">
        <f t="shared" si="0"/>
        <v>0</v>
      </c>
      <c r="P18">
        <f t="shared" si="1"/>
        <v>0</v>
      </c>
      <c r="Q18">
        <f t="shared" si="2"/>
        <v>1</v>
      </c>
    </row>
    <row r="19" spans="1:17">
      <c r="A19" s="4" t="s">
        <v>23</v>
      </c>
      <c r="B19" s="7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0.119</v>
      </c>
      <c r="H19" s="4">
        <v>9</v>
      </c>
      <c r="I19" s="4">
        <v>87.6</v>
      </c>
      <c r="J19" s="4">
        <v>4.01</v>
      </c>
      <c r="K19" s="4">
        <v>0</v>
      </c>
      <c r="L19" s="4">
        <v>3.6</v>
      </c>
      <c r="M19" s="4">
        <v>573155.19</v>
      </c>
      <c r="N19" s="4">
        <v>83680.75</v>
      </c>
      <c r="O19">
        <f t="shared" si="0"/>
        <v>0</v>
      </c>
      <c r="P19">
        <f t="shared" si="1"/>
        <v>0</v>
      </c>
      <c r="Q19">
        <f t="shared" si="2"/>
        <v>1</v>
      </c>
    </row>
    <row r="20" spans="1:17">
      <c r="A20" s="4" t="s">
        <v>23</v>
      </c>
      <c r="B20" s="7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 s="4">
        <v>3.9</v>
      </c>
      <c r="M20" s="4">
        <v>666573.2</v>
      </c>
      <c r="N20" s="4">
        <v>140641.02</v>
      </c>
      <c r="O20">
        <f t="shared" si="0"/>
        <v>0</v>
      </c>
      <c r="P20">
        <f t="shared" si="1"/>
        <v>0</v>
      </c>
      <c r="Q20">
        <f t="shared" si="2"/>
        <v>1</v>
      </c>
    </row>
    <row r="21" spans="1:17">
      <c r="A21" s="4" t="s">
        <v>23</v>
      </c>
      <c r="B21" s="7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 s="4">
        <v>4</v>
      </c>
      <c r="M21" s="4">
        <v>591619.95</v>
      </c>
      <c r="N21" s="4">
        <v>99521.35</v>
      </c>
      <c r="O21">
        <f t="shared" si="0"/>
        <v>0</v>
      </c>
      <c r="P21">
        <f t="shared" si="1"/>
        <v>0</v>
      </c>
      <c r="Q21">
        <f t="shared" si="2"/>
        <v>1</v>
      </c>
    </row>
    <row r="22" spans="1:17">
      <c r="A22" s="4" t="s">
        <v>25</v>
      </c>
      <c r="B22" s="7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</v>
      </c>
      <c r="H22" s="4">
        <v>9</v>
      </c>
      <c r="I22" s="4">
        <v>84.8</v>
      </c>
      <c r="J22" s="4">
        <v>6.95</v>
      </c>
      <c r="K22" s="4">
        <v>0</v>
      </c>
      <c r="L22" s="4">
        <v>5</v>
      </c>
      <c r="M22" s="4">
        <v>415721.82</v>
      </c>
      <c r="N22" s="4">
        <v>61179.15</v>
      </c>
      <c r="O22">
        <f t="shared" si="0"/>
        <v>0</v>
      </c>
      <c r="P22">
        <f t="shared" si="1"/>
        <v>1</v>
      </c>
      <c r="Q22">
        <f t="shared" ref="Q22:Q85" si="3">IF(C22="South",1,0)</f>
        <v>0</v>
      </c>
    </row>
    <row r="23" spans="1:17">
      <c r="A23" s="4" t="s">
        <v>25</v>
      </c>
      <c r="B23" s="7">
        <v>45689</v>
      </c>
      <c r="C23" s="4" t="s">
        <v>20</v>
      </c>
      <c r="D23" s="4" t="s">
        <v>16</v>
      </c>
      <c r="E23" s="4">
        <v>33518.88</v>
      </c>
      <c r="F23" s="4">
        <v>2121</v>
      </c>
      <c r="G23" s="4">
        <v>0.176</v>
      </c>
      <c r="H23" s="4">
        <v>8</v>
      </c>
      <c r="I23" s="4">
        <v>88.5</v>
      </c>
      <c r="J23" s="4">
        <v>0.2</v>
      </c>
      <c r="K23" s="4">
        <v>0</v>
      </c>
      <c r="L23" s="4">
        <v>5</v>
      </c>
      <c r="M23" s="4">
        <v>491905.13</v>
      </c>
      <c r="N23" s="4">
        <v>79212.26</v>
      </c>
      <c r="O23">
        <f t="shared" si="0"/>
        <v>0</v>
      </c>
      <c r="P23">
        <f t="shared" si="1"/>
        <v>1</v>
      </c>
      <c r="Q23">
        <f t="shared" si="3"/>
        <v>0</v>
      </c>
    </row>
    <row r="24" spans="1:17">
      <c r="A24" s="4" t="s">
        <v>25</v>
      </c>
      <c r="B24" s="7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 s="4">
        <v>4.6</v>
      </c>
      <c r="M24" s="4">
        <v>555929.4</v>
      </c>
      <c r="N24" s="4">
        <v>115201.76</v>
      </c>
      <c r="O24">
        <f t="shared" si="0"/>
        <v>0</v>
      </c>
      <c r="P24">
        <f t="shared" si="1"/>
        <v>1</v>
      </c>
      <c r="Q24">
        <f t="shared" si="3"/>
        <v>0</v>
      </c>
    </row>
    <row r="25" spans="1:17">
      <c r="A25" s="4" t="s">
        <v>25</v>
      </c>
      <c r="B25" s="7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 s="4">
        <v>4.7</v>
      </c>
      <c r="M25" s="4">
        <v>565810.99</v>
      </c>
      <c r="N25" s="4">
        <v>77825.46</v>
      </c>
      <c r="O25">
        <f t="shared" si="0"/>
        <v>0</v>
      </c>
      <c r="P25">
        <f t="shared" si="1"/>
        <v>1</v>
      </c>
      <c r="Q25">
        <f t="shared" si="3"/>
        <v>0</v>
      </c>
    </row>
    <row r="26" spans="1:17">
      <c r="A26" s="4" t="s">
        <v>26</v>
      </c>
      <c r="B26" s="7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 s="4">
        <v>3.5</v>
      </c>
      <c r="M26" s="4">
        <v>811771.14</v>
      </c>
      <c r="N26" s="4">
        <v>148756.24</v>
      </c>
      <c r="O26">
        <f t="shared" si="0"/>
        <v>0</v>
      </c>
      <c r="P26">
        <f t="shared" si="1"/>
        <v>0</v>
      </c>
      <c r="Q26">
        <f t="shared" si="3"/>
        <v>0</v>
      </c>
    </row>
    <row r="27" spans="1:17">
      <c r="A27" s="4" t="s">
        <v>26</v>
      </c>
      <c r="B27" s="7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</v>
      </c>
      <c r="H27" s="4">
        <v>22</v>
      </c>
      <c r="I27" s="4">
        <v>86.2</v>
      </c>
      <c r="J27" s="4">
        <v>7.04</v>
      </c>
      <c r="K27" s="4">
        <v>0</v>
      </c>
      <c r="L27" s="4">
        <v>3.9</v>
      </c>
      <c r="M27" s="4">
        <v>800451.94</v>
      </c>
      <c r="N27" s="4">
        <v>111572.29</v>
      </c>
      <c r="O27">
        <f t="shared" si="0"/>
        <v>0</v>
      </c>
      <c r="P27">
        <f t="shared" si="1"/>
        <v>0</v>
      </c>
      <c r="Q27">
        <f t="shared" si="3"/>
        <v>0</v>
      </c>
    </row>
    <row r="28" spans="1:17">
      <c r="A28" s="4" t="s">
        <v>26</v>
      </c>
      <c r="B28" s="7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</v>
      </c>
      <c r="H28" s="4">
        <v>23</v>
      </c>
      <c r="I28" s="4">
        <v>91.9</v>
      </c>
      <c r="J28" s="4">
        <v>4.94</v>
      </c>
      <c r="K28" s="4">
        <v>0</v>
      </c>
      <c r="L28" s="4">
        <v>4</v>
      </c>
      <c r="M28" s="4">
        <v>783672.82</v>
      </c>
      <c r="N28" s="4">
        <v>112577.14</v>
      </c>
      <c r="O28">
        <f t="shared" si="0"/>
        <v>0</v>
      </c>
      <c r="P28">
        <f t="shared" si="1"/>
        <v>0</v>
      </c>
      <c r="Q28">
        <f t="shared" si="3"/>
        <v>0</v>
      </c>
    </row>
    <row r="29" spans="1:17">
      <c r="A29" s="4" t="s">
        <v>26</v>
      </c>
      <c r="B29" s="7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16.15</v>
      </c>
      <c r="K29" s="4">
        <v>0</v>
      </c>
      <c r="L29" s="4">
        <v>3.7</v>
      </c>
      <c r="M29" s="4">
        <v>701641.97</v>
      </c>
      <c r="N29" s="4">
        <v>106111.86</v>
      </c>
      <c r="O29">
        <f t="shared" si="0"/>
        <v>0</v>
      </c>
      <c r="P29">
        <f t="shared" si="1"/>
        <v>0</v>
      </c>
      <c r="Q29">
        <f t="shared" si="3"/>
        <v>0</v>
      </c>
    </row>
    <row r="30" spans="1:17">
      <c r="A30" s="4" t="s">
        <v>29</v>
      </c>
      <c r="B30" s="7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 s="4">
        <v>3.6</v>
      </c>
      <c r="M30" s="4">
        <v>511844.41</v>
      </c>
      <c r="N30" s="4">
        <v>72774.44</v>
      </c>
      <c r="O30">
        <f t="shared" si="0"/>
        <v>1</v>
      </c>
      <c r="P30">
        <f t="shared" si="1"/>
        <v>0</v>
      </c>
      <c r="Q30">
        <f t="shared" si="3"/>
        <v>0</v>
      </c>
    </row>
    <row r="31" spans="1:17">
      <c r="A31" s="4" t="s">
        <v>29</v>
      </c>
      <c r="B31" s="7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 s="4">
        <v>3.1</v>
      </c>
      <c r="M31" s="4">
        <v>537383.79</v>
      </c>
      <c r="N31" s="4">
        <v>63773.27</v>
      </c>
      <c r="O31">
        <f t="shared" si="0"/>
        <v>1</v>
      </c>
      <c r="P31">
        <f t="shared" si="1"/>
        <v>0</v>
      </c>
      <c r="Q31">
        <f t="shared" si="3"/>
        <v>0</v>
      </c>
    </row>
    <row r="32" spans="1:17">
      <c r="A32" s="4" t="s">
        <v>29</v>
      </c>
      <c r="B32" s="7">
        <v>45717</v>
      </c>
      <c r="C32" s="4" t="s">
        <v>15</v>
      </c>
      <c r="D32" s="4" t="s">
        <v>16</v>
      </c>
      <c r="E32" s="4">
        <v>44970.08</v>
      </c>
      <c r="F32" s="4">
        <v>2471</v>
      </c>
      <c r="G32" s="4">
        <v>0.136</v>
      </c>
      <c r="H32" s="4">
        <v>11</v>
      </c>
      <c r="I32" s="4">
        <v>87.6</v>
      </c>
      <c r="J32" s="4">
        <v>3.01</v>
      </c>
      <c r="K32" s="4">
        <v>1</v>
      </c>
      <c r="L32" s="4">
        <v>3.7</v>
      </c>
      <c r="M32" s="4">
        <v>500173.02</v>
      </c>
      <c r="N32" s="4">
        <v>70982.05</v>
      </c>
      <c r="O32">
        <f t="shared" si="0"/>
        <v>1</v>
      </c>
      <c r="P32">
        <f t="shared" si="1"/>
        <v>0</v>
      </c>
      <c r="Q32">
        <f t="shared" si="3"/>
        <v>0</v>
      </c>
    </row>
    <row r="33" spans="1:17">
      <c r="A33" s="4" t="s">
        <v>29</v>
      </c>
      <c r="B33" s="7">
        <v>45748</v>
      </c>
      <c r="C33" s="4" t="s">
        <v>15</v>
      </c>
      <c r="D33" s="4" t="s">
        <v>16</v>
      </c>
      <c r="E33" s="4">
        <v>69816.35</v>
      </c>
      <c r="F33" s="4">
        <v>971</v>
      </c>
      <c r="G33" s="4">
        <v>0.168</v>
      </c>
      <c r="H33" s="4">
        <v>5</v>
      </c>
      <c r="I33" s="4">
        <v>89.9</v>
      </c>
      <c r="J33" s="4">
        <v>12.15</v>
      </c>
      <c r="K33" s="4">
        <v>0</v>
      </c>
      <c r="L33" s="4">
        <v>3.6</v>
      </c>
      <c r="M33" s="4">
        <v>427917.38</v>
      </c>
      <c r="N33" s="4">
        <v>81824.31</v>
      </c>
      <c r="O33">
        <f t="shared" si="0"/>
        <v>1</v>
      </c>
      <c r="P33">
        <f t="shared" si="1"/>
        <v>0</v>
      </c>
      <c r="Q33">
        <f t="shared" si="3"/>
        <v>0</v>
      </c>
    </row>
    <row r="34" spans="1:17">
      <c r="A34" s="4" t="s">
        <v>30</v>
      </c>
      <c r="B34" s="7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 s="4">
        <v>4.2</v>
      </c>
      <c r="M34" s="4">
        <v>641865.03</v>
      </c>
      <c r="N34" s="4">
        <v>81342.58</v>
      </c>
      <c r="O34">
        <f t="shared" si="0"/>
        <v>0</v>
      </c>
      <c r="P34">
        <f t="shared" si="1"/>
        <v>1</v>
      </c>
      <c r="Q34">
        <f t="shared" si="3"/>
        <v>0</v>
      </c>
    </row>
    <row r="35" spans="1:17">
      <c r="A35" s="4" t="s">
        <v>30</v>
      </c>
      <c r="B35" s="7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0.07</v>
      </c>
      <c r="H35" s="4">
        <v>25</v>
      </c>
      <c r="I35" s="4">
        <v>84.7</v>
      </c>
      <c r="J35" s="4">
        <v>0.62</v>
      </c>
      <c r="K35" s="4">
        <v>0</v>
      </c>
      <c r="L35" s="4"/>
      <c r="M35" s="4">
        <v>799477.76</v>
      </c>
      <c r="N35" s="4">
        <v>164974.41</v>
      </c>
      <c r="O35">
        <f t="shared" si="0"/>
        <v>0</v>
      </c>
      <c r="P35">
        <f t="shared" si="1"/>
        <v>1</v>
      </c>
      <c r="Q35">
        <f t="shared" si="3"/>
        <v>0</v>
      </c>
    </row>
    <row r="36" spans="1:17">
      <c r="A36" s="4" t="s">
        <v>30</v>
      </c>
      <c r="B36" s="7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0.039</v>
      </c>
      <c r="H36" s="4">
        <v>23</v>
      </c>
      <c r="I36" s="4">
        <v>92.1</v>
      </c>
      <c r="J36" s="4">
        <v>2.12</v>
      </c>
      <c r="K36" s="4">
        <v>0</v>
      </c>
      <c r="L36" s="4">
        <v>3.5</v>
      </c>
      <c r="M36" s="4">
        <v>798952.17</v>
      </c>
      <c r="N36" s="4">
        <v>161499.04</v>
      </c>
      <c r="O36">
        <f t="shared" si="0"/>
        <v>0</v>
      </c>
      <c r="P36">
        <f t="shared" si="1"/>
        <v>1</v>
      </c>
      <c r="Q36">
        <f t="shared" si="3"/>
        <v>0</v>
      </c>
    </row>
    <row r="37" spans="1:17">
      <c r="A37" s="4" t="s">
        <v>30</v>
      </c>
      <c r="B37" s="7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 s="4">
        <v>3.6</v>
      </c>
      <c r="M37" s="4">
        <v>800979.78</v>
      </c>
      <c r="N37" s="4">
        <v>149242.27</v>
      </c>
      <c r="O37">
        <f t="shared" si="0"/>
        <v>0</v>
      </c>
      <c r="P37">
        <f t="shared" si="1"/>
        <v>1</v>
      </c>
      <c r="Q37">
        <f t="shared" si="3"/>
        <v>0</v>
      </c>
    </row>
    <row r="38" spans="1:17">
      <c r="A38" s="4" t="s">
        <v>31</v>
      </c>
      <c r="B38" s="7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0.092</v>
      </c>
      <c r="H38" s="4">
        <v>21</v>
      </c>
      <c r="I38" s="4">
        <v>83.1</v>
      </c>
      <c r="J38" s="4">
        <v>9.56</v>
      </c>
      <c r="K38" s="4">
        <v>1</v>
      </c>
      <c r="L38" s="4">
        <v>4.2</v>
      </c>
      <c r="M38" s="4">
        <v>820593.93</v>
      </c>
      <c r="N38" s="4">
        <v>115860.06</v>
      </c>
      <c r="O38">
        <f t="shared" si="0"/>
        <v>0</v>
      </c>
      <c r="P38">
        <f t="shared" si="1"/>
        <v>1</v>
      </c>
      <c r="Q38">
        <f t="shared" si="3"/>
        <v>0</v>
      </c>
    </row>
    <row r="39" spans="1:17">
      <c r="A39" s="4" t="s">
        <v>31</v>
      </c>
      <c r="B39" s="7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</v>
      </c>
      <c r="K39" s="4">
        <v>0</v>
      </c>
      <c r="L39" s="4">
        <v>3.8</v>
      </c>
      <c r="M39" s="4">
        <v>718330.53</v>
      </c>
      <c r="N39" s="4">
        <v>93247.9</v>
      </c>
      <c r="O39">
        <f t="shared" si="0"/>
        <v>0</v>
      </c>
      <c r="P39">
        <f t="shared" si="1"/>
        <v>1</v>
      </c>
      <c r="Q39">
        <f t="shared" si="3"/>
        <v>0</v>
      </c>
    </row>
    <row r="40" spans="1:17">
      <c r="A40" s="4" t="s">
        <v>31</v>
      </c>
      <c r="B40" s="7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</v>
      </c>
      <c r="H40" s="4">
        <v>19</v>
      </c>
      <c r="I40" s="4">
        <v>82.9</v>
      </c>
      <c r="J40" s="4">
        <v>5.05</v>
      </c>
      <c r="K40" s="4">
        <v>0</v>
      </c>
      <c r="L40" s="4">
        <v>4</v>
      </c>
      <c r="M40" s="4">
        <v>736633.4</v>
      </c>
      <c r="N40" s="4">
        <v>115654.66</v>
      </c>
      <c r="O40">
        <f t="shared" si="0"/>
        <v>0</v>
      </c>
      <c r="P40">
        <f t="shared" si="1"/>
        <v>1</v>
      </c>
      <c r="Q40">
        <f t="shared" si="3"/>
        <v>0</v>
      </c>
    </row>
    <row r="41" spans="1:17">
      <c r="A41" s="4" t="s">
        <v>31</v>
      </c>
      <c r="B41" s="7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0.085</v>
      </c>
      <c r="H41" s="4">
        <v>24</v>
      </c>
      <c r="I41" s="4">
        <v>98.3</v>
      </c>
      <c r="J41" s="4">
        <v>0.89</v>
      </c>
      <c r="K41" s="4">
        <v>0</v>
      </c>
      <c r="L41" s="4">
        <v>3.8</v>
      </c>
      <c r="M41" s="4">
        <v>828623.85</v>
      </c>
      <c r="N41" s="4">
        <v>167320.52</v>
      </c>
      <c r="O41">
        <f t="shared" si="0"/>
        <v>0</v>
      </c>
      <c r="P41">
        <f t="shared" si="1"/>
        <v>1</v>
      </c>
      <c r="Q41">
        <f t="shared" si="3"/>
        <v>0</v>
      </c>
    </row>
    <row r="42" spans="1:17">
      <c r="A42" s="4" t="s">
        <v>32</v>
      </c>
      <c r="B42" s="7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 s="4">
        <v>4.4</v>
      </c>
      <c r="M42" s="4">
        <v>592195.85</v>
      </c>
      <c r="N42" s="4">
        <v>92291.56</v>
      </c>
      <c r="O42">
        <f t="shared" si="0"/>
        <v>1</v>
      </c>
      <c r="P42">
        <f t="shared" si="1"/>
        <v>0</v>
      </c>
      <c r="Q42">
        <f t="shared" si="3"/>
        <v>0</v>
      </c>
    </row>
    <row r="43" spans="1:17">
      <c r="A43" s="4" t="s">
        <v>32</v>
      </c>
      <c r="B43" s="7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0.143</v>
      </c>
      <c r="H43" s="4">
        <v>10</v>
      </c>
      <c r="I43" s="4">
        <v>75.4</v>
      </c>
      <c r="J43" s="4">
        <v>1.06</v>
      </c>
      <c r="K43" s="4">
        <v>0</v>
      </c>
      <c r="L43" s="4">
        <v>4.4</v>
      </c>
      <c r="M43" s="4">
        <v>532644.46</v>
      </c>
      <c r="N43" s="4">
        <v>60681.32</v>
      </c>
      <c r="O43">
        <f t="shared" si="0"/>
        <v>1</v>
      </c>
      <c r="P43">
        <f t="shared" si="1"/>
        <v>0</v>
      </c>
      <c r="Q43">
        <f t="shared" si="3"/>
        <v>0</v>
      </c>
    </row>
    <row r="44" spans="1:17">
      <c r="A44" s="4" t="s">
        <v>32</v>
      </c>
      <c r="B44" s="7">
        <v>45717</v>
      </c>
      <c r="C44" s="4" t="s">
        <v>15</v>
      </c>
      <c r="D44" s="4" t="s">
        <v>28</v>
      </c>
      <c r="E44" s="4">
        <v>68077.54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 s="4">
        <v>4</v>
      </c>
      <c r="M44" s="4">
        <v>657429.18</v>
      </c>
      <c r="N44" s="4">
        <v>88919.74</v>
      </c>
      <c r="O44">
        <f t="shared" si="0"/>
        <v>1</v>
      </c>
      <c r="P44">
        <f t="shared" si="1"/>
        <v>0</v>
      </c>
      <c r="Q44">
        <f t="shared" si="3"/>
        <v>0</v>
      </c>
    </row>
    <row r="45" spans="1:17">
      <c r="A45" s="4" t="s">
        <v>32</v>
      </c>
      <c r="B45" s="7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0.019</v>
      </c>
      <c r="H45" s="4">
        <v>13</v>
      </c>
      <c r="I45" s="4">
        <v>87.8</v>
      </c>
      <c r="J45" s="4">
        <v>4.52</v>
      </c>
      <c r="K45" s="4">
        <v>0</v>
      </c>
      <c r="L45" s="4">
        <v>4.2</v>
      </c>
      <c r="M45" s="4">
        <v>605178</v>
      </c>
      <c r="N45" s="4">
        <v>106958.74</v>
      </c>
      <c r="O45">
        <f t="shared" si="0"/>
        <v>1</v>
      </c>
      <c r="P45">
        <f t="shared" si="1"/>
        <v>0</v>
      </c>
      <c r="Q45">
        <f t="shared" si="3"/>
        <v>0</v>
      </c>
    </row>
    <row r="46" spans="1:17">
      <c r="A46" s="4" t="s">
        <v>33</v>
      </c>
      <c r="B46" s="7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 s="4">
        <v>3.2</v>
      </c>
      <c r="M46" s="4">
        <v>595467.6</v>
      </c>
      <c r="N46" s="4">
        <v>104276.46</v>
      </c>
      <c r="O46">
        <f t="shared" si="0"/>
        <v>0</v>
      </c>
      <c r="P46">
        <f t="shared" si="1"/>
        <v>0</v>
      </c>
      <c r="Q46">
        <f t="shared" si="3"/>
        <v>0</v>
      </c>
    </row>
    <row r="47" spans="1:17">
      <c r="A47" s="4" t="s">
        <v>33</v>
      </c>
      <c r="B47" s="7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0.235</v>
      </c>
      <c r="H47" s="4">
        <v>14</v>
      </c>
      <c r="I47" s="4">
        <v>98.6</v>
      </c>
      <c r="J47" s="4">
        <v>5.52</v>
      </c>
      <c r="K47" s="4">
        <v>0</v>
      </c>
      <c r="L47" s="4">
        <v>3.5</v>
      </c>
      <c r="M47" s="4">
        <v>599603.4</v>
      </c>
      <c r="N47" s="4">
        <v>112685.12</v>
      </c>
      <c r="O47">
        <f t="shared" si="0"/>
        <v>0</v>
      </c>
      <c r="P47">
        <f t="shared" si="1"/>
        <v>0</v>
      </c>
      <c r="Q47">
        <f t="shared" si="3"/>
        <v>0</v>
      </c>
    </row>
    <row r="48" spans="1:17">
      <c r="A48" s="4" t="s">
        <v>33</v>
      </c>
      <c r="B48" s="7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 s="4">
        <v>3.2</v>
      </c>
      <c r="M48" s="4">
        <v>614800.09</v>
      </c>
      <c r="N48" s="4">
        <v>100044.2</v>
      </c>
      <c r="O48">
        <f t="shared" si="0"/>
        <v>0</v>
      </c>
      <c r="P48">
        <f t="shared" si="1"/>
        <v>0</v>
      </c>
      <c r="Q48">
        <f t="shared" si="3"/>
        <v>0</v>
      </c>
    </row>
    <row r="49" spans="1:17">
      <c r="A49" s="4" t="s">
        <v>33</v>
      </c>
      <c r="B49" s="7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 s="4">
        <v>3.3</v>
      </c>
      <c r="M49" s="4">
        <v>585365.73</v>
      </c>
      <c r="N49" s="4">
        <v>81011.52</v>
      </c>
      <c r="O49">
        <f t="shared" si="0"/>
        <v>0</v>
      </c>
      <c r="P49">
        <f t="shared" si="1"/>
        <v>0</v>
      </c>
      <c r="Q49">
        <f t="shared" si="3"/>
        <v>0</v>
      </c>
    </row>
    <row r="50" spans="1:17">
      <c r="A50" s="4" t="s">
        <v>34</v>
      </c>
      <c r="B50" s="7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 s="4">
        <v>4.7</v>
      </c>
      <c r="M50" s="4">
        <v>622811.74</v>
      </c>
      <c r="N50" s="4">
        <v>109978.35</v>
      </c>
      <c r="O50">
        <f t="shared" si="0"/>
        <v>0</v>
      </c>
      <c r="P50">
        <f t="shared" si="1"/>
        <v>1</v>
      </c>
      <c r="Q50">
        <f t="shared" si="3"/>
        <v>0</v>
      </c>
    </row>
    <row r="51" spans="1:17">
      <c r="A51" s="4" t="s">
        <v>34</v>
      </c>
      <c r="B51" s="7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 s="4">
        <v>4.6</v>
      </c>
      <c r="M51" s="4">
        <v>603297.57</v>
      </c>
      <c r="N51" s="4">
        <v>60592.26</v>
      </c>
      <c r="O51">
        <f t="shared" si="0"/>
        <v>0</v>
      </c>
      <c r="P51">
        <f t="shared" si="1"/>
        <v>1</v>
      </c>
      <c r="Q51">
        <f t="shared" si="3"/>
        <v>0</v>
      </c>
    </row>
    <row r="52" spans="1:17">
      <c r="A52" s="4" t="s">
        <v>34</v>
      </c>
      <c r="B52" s="7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0.008</v>
      </c>
      <c r="H52" s="4">
        <v>12</v>
      </c>
      <c r="I52" s="4">
        <v>80.4</v>
      </c>
      <c r="J52" s="4">
        <v>7.4</v>
      </c>
      <c r="K52" s="4">
        <v>0</v>
      </c>
      <c r="L52" s="4">
        <v>4.5</v>
      </c>
      <c r="M52" s="4">
        <v>625672.86</v>
      </c>
      <c r="N52" s="4">
        <v>118020.12</v>
      </c>
      <c r="O52">
        <f t="shared" si="0"/>
        <v>0</v>
      </c>
      <c r="P52">
        <f t="shared" si="1"/>
        <v>1</v>
      </c>
      <c r="Q52">
        <f t="shared" si="3"/>
        <v>0</v>
      </c>
    </row>
    <row r="53" spans="1:17">
      <c r="A53" s="4" t="s">
        <v>34</v>
      </c>
      <c r="B53" s="7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 s="4">
        <v>4.6</v>
      </c>
      <c r="M53" s="4">
        <v>773815.14</v>
      </c>
      <c r="N53" s="4">
        <v>133948.39</v>
      </c>
      <c r="O53">
        <f t="shared" si="0"/>
        <v>0</v>
      </c>
      <c r="P53">
        <f t="shared" si="1"/>
        <v>1</v>
      </c>
      <c r="Q53">
        <f t="shared" si="3"/>
        <v>0</v>
      </c>
    </row>
    <row r="54" spans="1:17">
      <c r="A54" s="4" t="s">
        <v>35</v>
      </c>
      <c r="B54" s="7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0.087</v>
      </c>
      <c r="H54" s="4">
        <v>9</v>
      </c>
      <c r="I54" s="4">
        <v>84.3</v>
      </c>
      <c r="J54" s="4">
        <v>22.02</v>
      </c>
      <c r="K54" s="4">
        <v>0</v>
      </c>
      <c r="L54" s="4">
        <v>3.9</v>
      </c>
      <c r="M54" s="4">
        <v>463534.25</v>
      </c>
      <c r="N54" s="4">
        <v>81834.54</v>
      </c>
      <c r="O54">
        <f t="shared" si="0"/>
        <v>0</v>
      </c>
      <c r="P54">
        <f t="shared" si="1"/>
        <v>0</v>
      </c>
      <c r="Q54">
        <f t="shared" si="3"/>
        <v>0</v>
      </c>
    </row>
    <row r="55" spans="1:17">
      <c r="A55" s="4" t="s">
        <v>35</v>
      </c>
      <c r="B55" s="7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</v>
      </c>
      <c r="H55" s="4">
        <v>14</v>
      </c>
      <c r="I55" s="4">
        <v>88.7</v>
      </c>
      <c r="J55" s="4">
        <v>6.18</v>
      </c>
      <c r="K55" s="4">
        <v>0</v>
      </c>
      <c r="L55" s="4">
        <v>4.7</v>
      </c>
      <c r="M55" s="4">
        <v>746677.75</v>
      </c>
      <c r="N55" s="4">
        <v>122437.84</v>
      </c>
      <c r="O55">
        <f t="shared" si="0"/>
        <v>0</v>
      </c>
      <c r="P55">
        <f t="shared" si="1"/>
        <v>0</v>
      </c>
      <c r="Q55">
        <f t="shared" si="3"/>
        <v>0</v>
      </c>
    </row>
    <row r="56" spans="1:17">
      <c r="A56" s="4" t="s">
        <v>35</v>
      </c>
      <c r="B56" s="7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 s="4">
        <v>4.3</v>
      </c>
      <c r="M56" s="4">
        <v>720852.5</v>
      </c>
      <c r="N56" s="4">
        <v>98565.62</v>
      </c>
      <c r="O56">
        <f t="shared" si="0"/>
        <v>0</v>
      </c>
      <c r="P56">
        <f t="shared" si="1"/>
        <v>0</v>
      </c>
      <c r="Q56">
        <f t="shared" si="3"/>
        <v>0</v>
      </c>
    </row>
    <row r="57" spans="1:17">
      <c r="A57" s="4" t="s">
        <v>35</v>
      </c>
      <c r="B57" s="7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 s="4">
        <v>4.1</v>
      </c>
      <c r="M57" s="4">
        <v>487464.91</v>
      </c>
      <c r="N57" s="4">
        <v>64562.26</v>
      </c>
      <c r="O57">
        <f t="shared" si="0"/>
        <v>0</v>
      </c>
      <c r="P57">
        <f t="shared" si="1"/>
        <v>0</v>
      </c>
      <c r="Q57">
        <f t="shared" si="3"/>
        <v>0</v>
      </c>
    </row>
    <row r="58" spans="1:17">
      <c r="A58" s="4" t="s">
        <v>36</v>
      </c>
      <c r="B58" s="7">
        <v>45658</v>
      </c>
      <c r="C58" s="4" t="s">
        <v>15</v>
      </c>
      <c r="D58" s="4" t="s">
        <v>21</v>
      </c>
      <c r="E58" s="4">
        <v>19365.06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 s="4">
        <v>3.5</v>
      </c>
      <c r="M58" s="4">
        <v>518049.26</v>
      </c>
      <c r="N58" s="4">
        <v>108592.49</v>
      </c>
      <c r="O58">
        <f t="shared" si="0"/>
        <v>1</v>
      </c>
      <c r="P58">
        <f t="shared" si="1"/>
        <v>0</v>
      </c>
      <c r="Q58">
        <f t="shared" si="3"/>
        <v>0</v>
      </c>
    </row>
    <row r="59" spans="1:17">
      <c r="A59" s="4" t="s">
        <v>36</v>
      </c>
      <c r="B59" s="7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0.039</v>
      </c>
      <c r="H59" s="4">
        <v>12</v>
      </c>
      <c r="I59" s="4">
        <v>76</v>
      </c>
      <c r="J59" s="4">
        <v>5.11</v>
      </c>
      <c r="K59" s="4">
        <v>0</v>
      </c>
      <c r="L59" s="4">
        <v>3.7</v>
      </c>
      <c r="M59" s="4">
        <v>500298.48</v>
      </c>
      <c r="N59" s="4">
        <v>73461.32</v>
      </c>
      <c r="O59">
        <f t="shared" si="0"/>
        <v>1</v>
      </c>
      <c r="P59">
        <f t="shared" si="1"/>
        <v>0</v>
      </c>
      <c r="Q59">
        <f t="shared" si="3"/>
        <v>0</v>
      </c>
    </row>
    <row r="60" spans="1:17">
      <c r="A60" s="4" t="s">
        <v>36</v>
      </c>
      <c r="B60" s="7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</v>
      </c>
      <c r="H60" s="4">
        <v>11</v>
      </c>
      <c r="I60" s="4">
        <v>87.1</v>
      </c>
      <c r="J60" s="4">
        <v>0.2</v>
      </c>
      <c r="K60" s="4">
        <v>0</v>
      </c>
      <c r="L60" s="4">
        <v>3.1</v>
      </c>
      <c r="M60" s="4">
        <v>617291.15</v>
      </c>
      <c r="N60" s="4">
        <v>117782</v>
      </c>
      <c r="O60">
        <f t="shared" si="0"/>
        <v>1</v>
      </c>
      <c r="P60">
        <f t="shared" si="1"/>
        <v>0</v>
      </c>
      <c r="Q60">
        <f t="shared" si="3"/>
        <v>0</v>
      </c>
    </row>
    <row r="61" spans="1:17">
      <c r="A61" s="4" t="s">
        <v>36</v>
      </c>
      <c r="B61" s="7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0.092</v>
      </c>
      <c r="H61" s="4">
        <v>14</v>
      </c>
      <c r="I61" s="4">
        <v>88.6</v>
      </c>
      <c r="J61" s="4">
        <v>13.59</v>
      </c>
      <c r="K61" s="4">
        <v>0</v>
      </c>
      <c r="L61" s="4">
        <v>3.1</v>
      </c>
      <c r="M61" s="4">
        <v>553756.43</v>
      </c>
      <c r="N61" s="4">
        <v>86166.77</v>
      </c>
      <c r="O61">
        <f t="shared" si="0"/>
        <v>1</v>
      </c>
      <c r="P61">
        <f t="shared" si="1"/>
        <v>0</v>
      </c>
      <c r="Q61">
        <f t="shared" si="3"/>
        <v>0</v>
      </c>
    </row>
    <row r="62" spans="1:17">
      <c r="A62" s="4" t="s">
        <v>37</v>
      </c>
      <c r="B62" s="7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0.062</v>
      </c>
      <c r="H62" s="4">
        <v>16</v>
      </c>
      <c r="I62" s="4">
        <v>95.6</v>
      </c>
      <c r="J62" s="4">
        <v>1.02</v>
      </c>
      <c r="K62" s="4">
        <v>0</v>
      </c>
      <c r="L62" s="4">
        <v>3.7</v>
      </c>
      <c r="M62" s="4">
        <v>749559.71</v>
      </c>
      <c r="N62" s="4">
        <v>144522.53</v>
      </c>
      <c r="O62">
        <f t="shared" si="0"/>
        <v>0</v>
      </c>
      <c r="P62">
        <f t="shared" si="1"/>
        <v>0</v>
      </c>
      <c r="Q62">
        <f t="shared" si="3"/>
        <v>1</v>
      </c>
    </row>
    <row r="63" spans="1:17">
      <c r="A63" s="4" t="s">
        <v>37</v>
      </c>
      <c r="B63" s="7">
        <v>45689</v>
      </c>
      <c r="C63" s="4" t="s">
        <v>24</v>
      </c>
      <c r="D63" s="4" t="s">
        <v>18</v>
      </c>
      <c r="E63" s="4">
        <v>37284.66</v>
      </c>
      <c r="F63" s="4">
        <v>3928</v>
      </c>
      <c r="G63" s="4">
        <v>0.074</v>
      </c>
      <c r="H63" s="4">
        <v>12</v>
      </c>
      <c r="I63" s="4">
        <v>86.5</v>
      </c>
      <c r="J63" s="4">
        <v>1.64</v>
      </c>
      <c r="K63" s="4">
        <v>0</v>
      </c>
      <c r="L63" s="4">
        <v>3.8</v>
      </c>
      <c r="M63" s="4">
        <v>615966.48</v>
      </c>
      <c r="N63" s="4">
        <v>91509.38</v>
      </c>
      <c r="O63">
        <f t="shared" si="0"/>
        <v>0</v>
      </c>
      <c r="P63">
        <f t="shared" si="1"/>
        <v>0</v>
      </c>
      <c r="Q63">
        <f t="shared" si="3"/>
        <v>1</v>
      </c>
    </row>
    <row r="64" spans="1:17">
      <c r="A64" s="4" t="s">
        <v>37</v>
      </c>
      <c r="B64" s="7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 s="4">
        <v>3.3</v>
      </c>
      <c r="M64" s="4">
        <v>572011.2</v>
      </c>
      <c r="N64" s="4">
        <v>101409.68</v>
      </c>
      <c r="O64">
        <f t="shared" si="0"/>
        <v>0</v>
      </c>
      <c r="P64">
        <f t="shared" si="1"/>
        <v>0</v>
      </c>
      <c r="Q64">
        <f t="shared" si="3"/>
        <v>1</v>
      </c>
    </row>
    <row r="65" spans="1:17">
      <c r="A65" s="4" t="s">
        <v>37</v>
      </c>
      <c r="B65" s="7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0.054</v>
      </c>
      <c r="H65" s="4">
        <v>17</v>
      </c>
      <c r="I65" s="4">
        <v>91.1</v>
      </c>
      <c r="J65" s="4">
        <v>1.11</v>
      </c>
      <c r="K65" s="4">
        <v>0</v>
      </c>
      <c r="L65" s="4">
        <v>3.5</v>
      </c>
      <c r="M65" s="4">
        <v>761860.19</v>
      </c>
      <c r="N65" s="4">
        <v>133279.38</v>
      </c>
      <c r="O65">
        <f t="shared" si="0"/>
        <v>0</v>
      </c>
      <c r="P65">
        <f t="shared" si="1"/>
        <v>0</v>
      </c>
      <c r="Q65">
        <f t="shared" si="3"/>
        <v>1</v>
      </c>
    </row>
    <row r="66" spans="1:17">
      <c r="A66" s="4" t="s">
        <v>38</v>
      </c>
      <c r="B66" s="7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 s="4">
        <v>3.4</v>
      </c>
      <c r="M66" s="4">
        <v>784502.68</v>
      </c>
      <c r="N66" s="4">
        <v>129519.72</v>
      </c>
      <c r="O66">
        <f t="shared" si="0"/>
        <v>0</v>
      </c>
      <c r="P66">
        <f t="shared" si="1"/>
        <v>0</v>
      </c>
      <c r="Q66">
        <f t="shared" si="3"/>
        <v>0</v>
      </c>
    </row>
    <row r="67" spans="1:17">
      <c r="A67" s="4" t="s">
        <v>38</v>
      </c>
      <c r="B67" s="7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 s="4">
        <v>3.6</v>
      </c>
      <c r="M67" s="4">
        <v>717141.55</v>
      </c>
      <c r="N67" s="4">
        <v>134013.61</v>
      </c>
      <c r="O67">
        <f t="shared" ref="O67:O130" si="4">IF(C67="East",1,0)</f>
        <v>0</v>
      </c>
      <c r="P67">
        <f t="shared" ref="P67:P130" si="5">IF(C67="North",1,0)</f>
        <v>0</v>
      </c>
      <c r="Q67">
        <f t="shared" si="3"/>
        <v>0</v>
      </c>
    </row>
    <row r="68" spans="1:17">
      <c r="A68" s="4" t="s">
        <v>38</v>
      </c>
      <c r="B68" s="7">
        <v>45717</v>
      </c>
      <c r="C68" s="4" t="s">
        <v>27</v>
      </c>
      <c r="D68" s="4" t="s">
        <v>18</v>
      </c>
      <c r="E68" s="4">
        <v>79346.1</v>
      </c>
      <c r="F68" s="4">
        <v>9628</v>
      </c>
      <c r="G68" s="4">
        <v>0.102</v>
      </c>
      <c r="H68" s="4">
        <v>20</v>
      </c>
      <c r="I68" s="4">
        <v>99</v>
      </c>
      <c r="J68" s="4">
        <v>19.01</v>
      </c>
      <c r="K68" s="4">
        <v>1</v>
      </c>
      <c r="L68" s="4">
        <v>3.2</v>
      </c>
      <c r="M68" s="4">
        <v>685379.08</v>
      </c>
      <c r="N68" s="4">
        <v>106898.82</v>
      </c>
      <c r="O68">
        <f t="shared" si="4"/>
        <v>0</v>
      </c>
      <c r="P68">
        <f t="shared" si="5"/>
        <v>0</v>
      </c>
      <c r="Q68">
        <f t="shared" si="3"/>
        <v>0</v>
      </c>
    </row>
    <row r="69" spans="1:17">
      <c r="A69" s="4" t="s">
        <v>38</v>
      </c>
      <c r="B69" s="7">
        <v>45748</v>
      </c>
      <c r="C69" s="4" t="s">
        <v>27</v>
      </c>
      <c r="D69" s="4" t="s">
        <v>18</v>
      </c>
      <c r="E69" s="4">
        <v>42018.4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 s="4">
        <v>3.4</v>
      </c>
      <c r="M69" s="4">
        <v>740496.65</v>
      </c>
      <c r="N69" s="4">
        <v>128020.9</v>
      </c>
      <c r="O69">
        <f t="shared" si="4"/>
        <v>0</v>
      </c>
      <c r="P69">
        <f t="shared" si="5"/>
        <v>0</v>
      </c>
      <c r="Q69">
        <f t="shared" si="3"/>
        <v>0</v>
      </c>
    </row>
    <row r="70" spans="1:17">
      <c r="A70" s="4" t="s">
        <v>39</v>
      </c>
      <c r="B70" s="7">
        <v>45658</v>
      </c>
      <c r="C70" s="4" t="s">
        <v>15</v>
      </c>
      <c r="D70" s="4" t="s">
        <v>18</v>
      </c>
      <c r="E70" s="4">
        <v>70937.24</v>
      </c>
      <c r="F70" s="4">
        <v>3595</v>
      </c>
      <c r="G70" s="4">
        <v>0.141</v>
      </c>
      <c r="H70" s="4">
        <v>11</v>
      </c>
      <c r="I70" s="4">
        <v>88.9</v>
      </c>
      <c r="J70" s="4">
        <v>2.83</v>
      </c>
      <c r="K70" s="4">
        <v>1</v>
      </c>
      <c r="L70" s="4">
        <v>3.3</v>
      </c>
      <c r="M70" s="4">
        <v>661927.14</v>
      </c>
      <c r="N70" s="4">
        <v>79218.57</v>
      </c>
      <c r="O70">
        <f t="shared" si="4"/>
        <v>1</v>
      </c>
      <c r="P70">
        <f t="shared" si="5"/>
        <v>0</v>
      </c>
      <c r="Q70">
        <f t="shared" si="3"/>
        <v>0</v>
      </c>
    </row>
    <row r="71" spans="1:17">
      <c r="A71" s="4" t="s">
        <v>39</v>
      </c>
      <c r="B71" s="7">
        <v>45689</v>
      </c>
      <c r="C71" s="4" t="s">
        <v>15</v>
      </c>
      <c r="D71" s="4" t="s">
        <v>18</v>
      </c>
      <c r="E71" s="4">
        <v>36813.45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 s="4">
        <v>3.3</v>
      </c>
      <c r="M71" s="4">
        <v>479050.5</v>
      </c>
      <c r="N71" s="4">
        <v>53651.11</v>
      </c>
      <c r="O71">
        <f t="shared" si="4"/>
        <v>1</v>
      </c>
      <c r="P71">
        <f t="shared" si="5"/>
        <v>0</v>
      </c>
      <c r="Q71">
        <f t="shared" si="3"/>
        <v>0</v>
      </c>
    </row>
    <row r="72" spans="1:17">
      <c r="A72" s="4" t="s">
        <v>39</v>
      </c>
      <c r="B72" s="7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</v>
      </c>
      <c r="H72" s="4">
        <v>7</v>
      </c>
      <c r="I72" s="4">
        <v>99</v>
      </c>
      <c r="J72" s="4">
        <v>1.43</v>
      </c>
      <c r="K72" s="4">
        <v>0</v>
      </c>
      <c r="L72" s="4">
        <v>3.2</v>
      </c>
      <c r="M72" s="4">
        <v>605023.87</v>
      </c>
      <c r="N72" s="4">
        <v>98545.81</v>
      </c>
      <c r="O72">
        <f t="shared" si="4"/>
        <v>1</v>
      </c>
      <c r="P72">
        <f t="shared" si="5"/>
        <v>0</v>
      </c>
      <c r="Q72">
        <f t="shared" si="3"/>
        <v>0</v>
      </c>
    </row>
    <row r="73" spans="1:17">
      <c r="A73" s="4" t="s">
        <v>39</v>
      </c>
      <c r="B73" s="7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0.036</v>
      </c>
      <c r="H73" s="4">
        <v>12</v>
      </c>
      <c r="I73" s="4">
        <v>88</v>
      </c>
      <c r="J73" s="4"/>
      <c r="K73" s="4">
        <v>0</v>
      </c>
      <c r="L73" s="4">
        <v>3.5</v>
      </c>
      <c r="M73" s="4">
        <v>674774.09</v>
      </c>
      <c r="N73" s="4">
        <v>141917.59</v>
      </c>
      <c r="O73">
        <f t="shared" si="4"/>
        <v>1</v>
      </c>
      <c r="P73">
        <f t="shared" si="5"/>
        <v>0</v>
      </c>
      <c r="Q73">
        <f t="shared" si="3"/>
        <v>0</v>
      </c>
    </row>
    <row r="74" spans="1:17">
      <c r="A74" s="4" t="s">
        <v>40</v>
      </c>
      <c r="B74" s="7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</v>
      </c>
      <c r="H74" s="4">
        <v>13</v>
      </c>
      <c r="I74" s="4">
        <v>78.8</v>
      </c>
      <c r="J74" s="4">
        <v>4.91</v>
      </c>
      <c r="K74" s="4">
        <v>0</v>
      </c>
      <c r="L74" s="4">
        <v>4.5</v>
      </c>
      <c r="M74" s="4">
        <v>616069.41</v>
      </c>
      <c r="N74" s="4">
        <v>54453.99</v>
      </c>
      <c r="O74">
        <f t="shared" si="4"/>
        <v>1</v>
      </c>
      <c r="P74">
        <f t="shared" si="5"/>
        <v>0</v>
      </c>
      <c r="Q74">
        <f t="shared" si="3"/>
        <v>0</v>
      </c>
    </row>
    <row r="75" spans="1:17">
      <c r="A75" s="4" t="s">
        <v>40</v>
      </c>
      <c r="B75" s="7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0.066</v>
      </c>
      <c r="H75" s="4">
        <v>19</v>
      </c>
      <c r="I75" s="4">
        <v>94.6</v>
      </c>
      <c r="J75" s="4">
        <v>7.03</v>
      </c>
      <c r="K75" s="4">
        <v>0</v>
      </c>
      <c r="L75" s="4">
        <v>4.4</v>
      </c>
      <c r="M75" s="4">
        <v>630829.94</v>
      </c>
      <c r="N75" s="4">
        <v>117090.02</v>
      </c>
      <c r="O75">
        <f t="shared" si="4"/>
        <v>1</v>
      </c>
      <c r="P75">
        <f t="shared" si="5"/>
        <v>0</v>
      </c>
      <c r="Q75">
        <f t="shared" si="3"/>
        <v>0</v>
      </c>
    </row>
    <row r="76" spans="1:17">
      <c r="A76" s="4" t="s">
        <v>40</v>
      </c>
      <c r="B76" s="7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0.178</v>
      </c>
      <c r="H76" s="4">
        <v>20</v>
      </c>
      <c r="I76" s="4">
        <v>93.1</v>
      </c>
      <c r="J76" s="4">
        <v>0.28</v>
      </c>
      <c r="K76" s="4">
        <v>1</v>
      </c>
      <c r="L76" s="4">
        <v>4.3</v>
      </c>
      <c r="M76" s="4">
        <v>788087.68</v>
      </c>
      <c r="N76" s="4">
        <v>116803.42</v>
      </c>
      <c r="O76">
        <f t="shared" si="4"/>
        <v>1</v>
      </c>
      <c r="P76">
        <f t="shared" si="5"/>
        <v>0</v>
      </c>
      <c r="Q76">
        <f t="shared" si="3"/>
        <v>0</v>
      </c>
    </row>
    <row r="77" spans="1:17">
      <c r="A77" s="4" t="s">
        <v>40</v>
      </c>
      <c r="B77" s="7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</v>
      </c>
      <c r="H77" s="4">
        <v>20</v>
      </c>
      <c r="I77" s="4">
        <v>85.2</v>
      </c>
      <c r="J77" s="4">
        <v>3.61</v>
      </c>
      <c r="K77" s="4">
        <v>0</v>
      </c>
      <c r="L77" s="4">
        <v>4.5</v>
      </c>
      <c r="M77" s="4">
        <v>680840.36</v>
      </c>
      <c r="N77" s="4">
        <v>68007.68</v>
      </c>
      <c r="O77">
        <f t="shared" si="4"/>
        <v>1</v>
      </c>
      <c r="P77">
        <f t="shared" si="5"/>
        <v>0</v>
      </c>
      <c r="Q77">
        <f t="shared" si="3"/>
        <v>0</v>
      </c>
    </row>
    <row r="78" spans="1:17">
      <c r="A78" s="4" t="s">
        <v>41</v>
      </c>
      <c r="B78" s="7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 s="4">
        <v>3.2</v>
      </c>
      <c r="M78" s="4">
        <v>643657.47</v>
      </c>
      <c r="N78" s="4">
        <v>87022.45</v>
      </c>
      <c r="O78">
        <f t="shared" si="4"/>
        <v>0</v>
      </c>
      <c r="P78">
        <f t="shared" si="5"/>
        <v>0</v>
      </c>
      <c r="Q78">
        <f t="shared" si="3"/>
        <v>1</v>
      </c>
    </row>
    <row r="79" spans="1:17">
      <c r="A79" s="4" t="s">
        <v>41</v>
      </c>
      <c r="B79" s="7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0.064</v>
      </c>
      <c r="H79" s="4">
        <v>12</v>
      </c>
      <c r="I79" s="4">
        <v>85.4</v>
      </c>
      <c r="J79" s="4">
        <v>2.58</v>
      </c>
      <c r="K79" s="4">
        <v>0</v>
      </c>
      <c r="L79" s="4">
        <v>2.9</v>
      </c>
      <c r="M79" s="4">
        <v>691112.6</v>
      </c>
      <c r="N79" s="4">
        <v>109212.83</v>
      </c>
      <c r="O79">
        <f t="shared" si="4"/>
        <v>0</v>
      </c>
      <c r="P79">
        <f t="shared" si="5"/>
        <v>0</v>
      </c>
      <c r="Q79">
        <f t="shared" si="3"/>
        <v>1</v>
      </c>
    </row>
    <row r="80" spans="1:17">
      <c r="A80" s="4" t="s">
        <v>41</v>
      </c>
      <c r="B80" s="7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0.172</v>
      </c>
      <c r="H80" s="4">
        <v>16</v>
      </c>
      <c r="I80" s="4">
        <v>83.5</v>
      </c>
      <c r="J80" s="4">
        <v>2.29</v>
      </c>
      <c r="K80" s="4">
        <v>0</v>
      </c>
      <c r="L80" s="4">
        <v>3.3</v>
      </c>
      <c r="M80" s="4">
        <v>776922.17</v>
      </c>
      <c r="N80" s="4">
        <v>150701.93</v>
      </c>
      <c r="O80">
        <f t="shared" si="4"/>
        <v>0</v>
      </c>
      <c r="P80">
        <f t="shared" si="5"/>
        <v>0</v>
      </c>
      <c r="Q80">
        <f t="shared" si="3"/>
        <v>1</v>
      </c>
    </row>
    <row r="81" spans="1:17">
      <c r="A81" s="4" t="s">
        <v>41</v>
      </c>
      <c r="B81" s="7">
        <v>45748</v>
      </c>
      <c r="C81" s="4" t="s">
        <v>24</v>
      </c>
      <c r="D81" s="4" t="s">
        <v>18</v>
      </c>
      <c r="E81" s="4">
        <v>77999.9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 s="4">
        <v>3.2</v>
      </c>
      <c r="M81" s="4">
        <v>636561.34</v>
      </c>
      <c r="N81" s="4">
        <v>93861.06</v>
      </c>
      <c r="O81">
        <f t="shared" si="4"/>
        <v>0</v>
      </c>
      <c r="P81">
        <f t="shared" si="5"/>
        <v>0</v>
      </c>
      <c r="Q81">
        <f t="shared" si="3"/>
        <v>1</v>
      </c>
    </row>
    <row r="82" spans="1:17">
      <c r="A82" s="4" t="s">
        <v>42</v>
      </c>
      <c r="B82" s="7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0.179</v>
      </c>
      <c r="H82" s="4">
        <v>15</v>
      </c>
      <c r="I82" s="4">
        <v>83.9</v>
      </c>
      <c r="J82" s="4">
        <v>5.24</v>
      </c>
      <c r="K82" s="4">
        <v>0</v>
      </c>
      <c r="L82" s="4">
        <v>4.6</v>
      </c>
      <c r="M82" s="4">
        <v>621369.58</v>
      </c>
      <c r="N82" s="4">
        <v>85493.64</v>
      </c>
      <c r="O82">
        <f t="shared" si="4"/>
        <v>0</v>
      </c>
      <c r="P82">
        <f t="shared" si="5"/>
        <v>0</v>
      </c>
      <c r="Q82">
        <f t="shared" si="3"/>
        <v>0</v>
      </c>
    </row>
    <row r="83" spans="1:17">
      <c r="A83" s="4" t="s">
        <v>42</v>
      </c>
      <c r="B83" s="7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0.095</v>
      </c>
      <c r="H83" s="4">
        <v>10</v>
      </c>
      <c r="I83" s="4">
        <v>89.6</v>
      </c>
      <c r="J83" s="4">
        <v>3.17</v>
      </c>
      <c r="K83" s="4">
        <v>0</v>
      </c>
      <c r="L83" s="4">
        <v>4.6</v>
      </c>
      <c r="M83" s="4">
        <v>682208.01</v>
      </c>
      <c r="N83" s="4">
        <v>110318.84</v>
      </c>
      <c r="O83">
        <f t="shared" si="4"/>
        <v>0</v>
      </c>
      <c r="P83">
        <f t="shared" si="5"/>
        <v>0</v>
      </c>
      <c r="Q83">
        <f t="shared" si="3"/>
        <v>0</v>
      </c>
    </row>
    <row r="84" spans="1:17">
      <c r="A84" s="4" t="s">
        <v>42</v>
      </c>
      <c r="B84" s="7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0.084</v>
      </c>
      <c r="H84" s="4">
        <v>15</v>
      </c>
      <c r="I84" s="4">
        <v>87.1</v>
      </c>
      <c r="J84" s="4">
        <v>2.66</v>
      </c>
      <c r="K84" s="4">
        <v>0</v>
      </c>
      <c r="L84" s="4">
        <v>4.6</v>
      </c>
      <c r="M84" s="4">
        <v>727241.86</v>
      </c>
      <c r="N84" s="4">
        <v>155810.3</v>
      </c>
      <c r="O84">
        <f t="shared" si="4"/>
        <v>0</v>
      </c>
      <c r="P84">
        <f t="shared" si="5"/>
        <v>0</v>
      </c>
      <c r="Q84">
        <f t="shared" si="3"/>
        <v>0</v>
      </c>
    </row>
    <row r="85" spans="1:17">
      <c r="A85" s="4" t="s">
        <v>42</v>
      </c>
      <c r="B85" s="7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 s="4">
        <v>4.2</v>
      </c>
      <c r="M85" s="4">
        <v>569100.78</v>
      </c>
      <c r="N85" s="4">
        <v>104808.78</v>
      </c>
      <c r="O85">
        <f t="shared" si="4"/>
        <v>0</v>
      </c>
      <c r="P85">
        <f t="shared" si="5"/>
        <v>0</v>
      </c>
      <c r="Q85">
        <f t="shared" si="3"/>
        <v>0</v>
      </c>
    </row>
    <row r="86" spans="1:17">
      <c r="A86" s="4" t="s">
        <v>43</v>
      </c>
      <c r="B86" s="7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 s="4">
        <v>4.9</v>
      </c>
      <c r="M86" s="4">
        <v>574436.29</v>
      </c>
      <c r="N86" s="4">
        <v>80271.99</v>
      </c>
      <c r="O86">
        <f t="shared" si="4"/>
        <v>0</v>
      </c>
      <c r="P86">
        <f t="shared" si="5"/>
        <v>0</v>
      </c>
      <c r="Q86">
        <f t="shared" ref="Q86:Q149" si="6">IF(C86="South",1,0)</f>
        <v>0</v>
      </c>
    </row>
    <row r="87" spans="1:17">
      <c r="A87" s="4" t="s">
        <v>43</v>
      </c>
      <c r="B87" s="7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0.206</v>
      </c>
      <c r="H87" s="4">
        <v>11</v>
      </c>
      <c r="I87" s="4">
        <v>91.9</v>
      </c>
      <c r="J87" s="4">
        <v>5.95</v>
      </c>
      <c r="K87" s="4">
        <v>0</v>
      </c>
      <c r="L87" s="4"/>
      <c r="M87" s="4">
        <v>611766.72</v>
      </c>
      <c r="N87" s="4">
        <v>88275.61</v>
      </c>
      <c r="O87">
        <f t="shared" si="4"/>
        <v>0</v>
      </c>
      <c r="P87">
        <f t="shared" si="5"/>
        <v>0</v>
      </c>
      <c r="Q87">
        <f t="shared" si="6"/>
        <v>0</v>
      </c>
    </row>
    <row r="88" spans="1:17">
      <c r="A88" s="4" t="s">
        <v>43</v>
      </c>
      <c r="B88" s="7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0.059</v>
      </c>
      <c r="H88" s="4">
        <v>11</v>
      </c>
      <c r="I88" s="4">
        <v>88.5</v>
      </c>
      <c r="J88" s="4">
        <v>15.51</v>
      </c>
      <c r="K88" s="4">
        <v>0</v>
      </c>
      <c r="L88" s="4">
        <v>4.3</v>
      </c>
      <c r="M88" s="4">
        <v>614596.32</v>
      </c>
      <c r="N88" s="4">
        <v>131199.41</v>
      </c>
      <c r="O88">
        <f t="shared" si="4"/>
        <v>0</v>
      </c>
      <c r="P88">
        <f t="shared" si="5"/>
        <v>0</v>
      </c>
      <c r="Q88">
        <f t="shared" si="6"/>
        <v>0</v>
      </c>
    </row>
    <row r="89" spans="1:17">
      <c r="A89" s="4" t="s">
        <v>43</v>
      </c>
      <c r="B89" s="7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0.145</v>
      </c>
      <c r="H89" s="4">
        <v>9</v>
      </c>
      <c r="I89" s="4">
        <v>86.4</v>
      </c>
      <c r="J89" s="4">
        <v>4.31</v>
      </c>
      <c r="K89" s="4">
        <v>0</v>
      </c>
      <c r="L89" s="4">
        <v>4.6</v>
      </c>
      <c r="M89" s="4">
        <v>450711.92</v>
      </c>
      <c r="N89" s="4">
        <v>90043.76</v>
      </c>
      <c r="O89">
        <f t="shared" si="4"/>
        <v>0</v>
      </c>
      <c r="P89">
        <f t="shared" si="5"/>
        <v>0</v>
      </c>
      <c r="Q89">
        <f t="shared" si="6"/>
        <v>0</v>
      </c>
    </row>
    <row r="90" spans="1:17">
      <c r="A90" s="4" t="s">
        <v>44</v>
      </c>
      <c r="B90" s="7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0.029</v>
      </c>
      <c r="H90" s="4">
        <v>18</v>
      </c>
      <c r="I90" s="4">
        <v>79.2</v>
      </c>
      <c r="J90" s="4">
        <v>6.61</v>
      </c>
      <c r="K90" s="4">
        <v>1</v>
      </c>
      <c r="L90" s="4">
        <v>4.1</v>
      </c>
      <c r="M90" s="4">
        <v>711213.46</v>
      </c>
      <c r="N90" s="4">
        <v>105863.26</v>
      </c>
      <c r="O90">
        <f t="shared" si="4"/>
        <v>0</v>
      </c>
      <c r="P90">
        <f t="shared" si="5"/>
        <v>0</v>
      </c>
      <c r="Q90">
        <f t="shared" si="6"/>
        <v>1</v>
      </c>
    </row>
    <row r="91" spans="1:17">
      <c r="A91" s="4" t="s">
        <v>44</v>
      </c>
      <c r="B91" s="7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0.013</v>
      </c>
      <c r="H91" s="4">
        <v>12</v>
      </c>
      <c r="I91" s="4">
        <v>87</v>
      </c>
      <c r="J91" s="4">
        <v>4.26</v>
      </c>
      <c r="K91" s="4">
        <v>0</v>
      </c>
      <c r="L91" s="4">
        <v>4.5</v>
      </c>
      <c r="M91" s="4">
        <v>627171.9</v>
      </c>
      <c r="N91" s="4">
        <v>105772.75</v>
      </c>
      <c r="O91">
        <f t="shared" si="4"/>
        <v>0</v>
      </c>
      <c r="P91">
        <f t="shared" si="5"/>
        <v>0</v>
      </c>
      <c r="Q91">
        <f t="shared" si="6"/>
        <v>1</v>
      </c>
    </row>
    <row r="92" spans="1:17">
      <c r="A92" s="4" t="s">
        <v>44</v>
      </c>
      <c r="B92" s="7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 s="4">
        <v>4.7</v>
      </c>
      <c r="M92" s="4">
        <v>739852.58</v>
      </c>
      <c r="N92" s="4">
        <v>129386.43</v>
      </c>
      <c r="O92">
        <f t="shared" si="4"/>
        <v>0</v>
      </c>
      <c r="P92">
        <f t="shared" si="5"/>
        <v>0</v>
      </c>
      <c r="Q92">
        <f t="shared" si="6"/>
        <v>1</v>
      </c>
    </row>
    <row r="93" spans="1:17">
      <c r="A93" s="4" t="s">
        <v>44</v>
      </c>
      <c r="B93" s="7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0.043</v>
      </c>
      <c r="H93" s="4">
        <v>11</v>
      </c>
      <c r="I93" s="4">
        <v>84.7</v>
      </c>
      <c r="J93" s="4">
        <v>0.33</v>
      </c>
      <c r="K93" s="4">
        <v>0</v>
      </c>
      <c r="L93" s="4">
        <v>4.3</v>
      </c>
      <c r="M93" s="4">
        <v>586307.22</v>
      </c>
      <c r="N93" s="4">
        <v>73927.85</v>
      </c>
      <c r="O93">
        <f t="shared" si="4"/>
        <v>0</v>
      </c>
      <c r="P93">
        <f t="shared" si="5"/>
        <v>0</v>
      </c>
      <c r="Q93">
        <f t="shared" si="6"/>
        <v>1</v>
      </c>
    </row>
    <row r="94" spans="1:17">
      <c r="A94" s="4" t="s">
        <v>45</v>
      </c>
      <c r="B94" s="7">
        <v>45658</v>
      </c>
      <c r="C94" s="4" t="s">
        <v>27</v>
      </c>
      <c r="D94" s="4" t="s">
        <v>16</v>
      </c>
      <c r="E94" s="4">
        <v>38966.59</v>
      </c>
      <c r="F94" s="4">
        <v>4509</v>
      </c>
      <c r="G94" s="4">
        <v>0.194</v>
      </c>
      <c r="H94" s="4">
        <v>14</v>
      </c>
      <c r="I94" s="4">
        <v>91.1</v>
      </c>
      <c r="J94" s="4">
        <v>2.92</v>
      </c>
      <c r="K94" s="4">
        <v>0</v>
      </c>
      <c r="L94" s="4">
        <v>4.6</v>
      </c>
      <c r="M94" s="4">
        <v>585937.48</v>
      </c>
      <c r="N94" s="4">
        <v>82624.2</v>
      </c>
      <c r="O94">
        <f t="shared" si="4"/>
        <v>0</v>
      </c>
      <c r="P94">
        <f t="shared" si="5"/>
        <v>0</v>
      </c>
      <c r="Q94">
        <f t="shared" si="6"/>
        <v>0</v>
      </c>
    </row>
    <row r="95" spans="1:17">
      <c r="A95" s="4" t="s">
        <v>45</v>
      </c>
      <c r="B95" s="7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 s="4">
        <v>4.5</v>
      </c>
      <c r="M95" s="4">
        <v>753473.55</v>
      </c>
      <c r="N95" s="4">
        <v>151527.22</v>
      </c>
      <c r="O95">
        <f t="shared" si="4"/>
        <v>0</v>
      </c>
      <c r="P95">
        <f t="shared" si="5"/>
        <v>0</v>
      </c>
      <c r="Q95">
        <f t="shared" si="6"/>
        <v>0</v>
      </c>
    </row>
    <row r="96" spans="1:17">
      <c r="A96" s="4" t="s">
        <v>45</v>
      </c>
      <c r="B96" s="7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0.073</v>
      </c>
      <c r="H96" s="4">
        <v>17</v>
      </c>
      <c r="I96" s="4">
        <v>91.3</v>
      </c>
      <c r="J96" s="4">
        <v>0.8</v>
      </c>
      <c r="K96" s="4">
        <v>0</v>
      </c>
      <c r="L96" s="4">
        <v>5</v>
      </c>
      <c r="M96" s="4">
        <v>838250.32</v>
      </c>
      <c r="N96" s="4">
        <v>122939.34</v>
      </c>
      <c r="O96">
        <f t="shared" si="4"/>
        <v>0</v>
      </c>
      <c r="P96">
        <f t="shared" si="5"/>
        <v>0</v>
      </c>
      <c r="Q96">
        <f t="shared" si="6"/>
        <v>0</v>
      </c>
    </row>
    <row r="97" spans="1:17">
      <c r="A97" s="4" t="s">
        <v>45</v>
      </c>
      <c r="B97" s="7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0.074</v>
      </c>
      <c r="H97" s="4">
        <v>15</v>
      </c>
      <c r="I97" s="4">
        <v>94.1</v>
      </c>
      <c r="J97" s="4">
        <v>5.79</v>
      </c>
      <c r="K97" s="4">
        <v>0</v>
      </c>
      <c r="L97" s="4">
        <v>4.5</v>
      </c>
      <c r="M97" s="4">
        <v>607898.12</v>
      </c>
      <c r="N97" s="4">
        <v>135404.85</v>
      </c>
      <c r="O97">
        <f t="shared" si="4"/>
        <v>0</v>
      </c>
      <c r="P97">
        <f t="shared" si="5"/>
        <v>0</v>
      </c>
      <c r="Q97">
        <f t="shared" si="6"/>
        <v>0</v>
      </c>
    </row>
    <row r="98" spans="1:17">
      <c r="A98" s="4" t="s">
        <v>46</v>
      </c>
      <c r="B98" s="7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</v>
      </c>
      <c r="H98" s="4">
        <v>19</v>
      </c>
      <c r="I98" s="4">
        <v>91</v>
      </c>
      <c r="J98" s="4">
        <v>19.6</v>
      </c>
      <c r="K98" s="4">
        <v>0</v>
      </c>
      <c r="L98" s="4">
        <v>4.4</v>
      </c>
      <c r="M98" s="4">
        <v>691113.62</v>
      </c>
      <c r="N98" s="4">
        <v>135145.44</v>
      </c>
      <c r="O98">
        <f t="shared" si="4"/>
        <v>0</v>
      </c>
      <c r="P98">
        <f t="shared" si="5"/>
        <v>0</v>
      </c>
      <c r="Q98">
        <f t="shared" si="6"/>
        <v>0</v>
      </c>
    </row>
    <row r="99" spans="1:17">
      <c r="A99" s="4" t="s">
        <v>46</v>
      </c>
      <c r="B99" s="7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</v>
      </c>
      <c r="H99" s="4">
        <v>13</v>
      </c>
      <c r="I99" s="4">
        <v>85.8</v>
      </c>
      <c r="J99" s="4">
        <v>7.57</v>
      </c>
      <c r="K99" s="4">
        <v>0</v>
      </c>
      <c r="L99" s="4">
        <v>4.3</v>
      </c>
      <c r="M99" s="4">
        <v>735509.4</v>
      </c>
      <c r="N99" s="4">
        <v>83895.96</v>
      </c>
      <c r="O99">
        <f t="shared" si="4"/>
        <v>0</v>
      </c>
      <c r="P99">
        <f t="shared" si="5"/>
        <v>0</v>
      </c>
      <c r="Q99">
        <f t="shared" si="6"/>
        <v>0</v>
      </c>
    </row>
    <row r="100" spans="1:17">
      <c r="A100" s="4" t="s">
        <v>46</v>
      </c>
      <c r="B100" s="7">
        <v>45717</v>
      </c>
      <c r="C100" s="4" t="s">
        <v>27</v>
      </c>
      <c r="D100" s="4" t="s">
        <v>28</v>
      </c>
      <c r="E100" s="4">
        <v>38752.8</v>
      </c>
      <c r="F100" s="4">
        <v>4712</v>
      </c>
      <c r="G100" s="4">
        <v>0.075</v>
      </c>
      <c r="H100" s="4">
        <v>15</v>
      </c>
      <c r="I100" s="4">
        <v>89.7</v>
      </c>
      <c r="J100" s="4"/>
      <c r="K100" s="4">
        <v>0</v>
      </c>
      <c r="L100" s="4">
        <v>4.3</v>
      </c>
      <c r="M100" s="4">
        <v>605775.33</v>
      </c>
      <c r="N100" s="4">
        <v>107194.6</v>
      </c>
      <c r="O100">
        <f t="shared" si="4"/>
        <v>0</v>
      </c>
      <c r="P100">
        <f t="shared" si="5"/>
        <v>0</v>
      </c>
      <c r="Q100">
        <f t="shared" si="6"/>
        <v>0</v>
      </c>
    </row>
    <row r="101" spans="1:17">
      <c r="A101" s="4" t="s">
        <v>46</v>
      </c>
      <c r="B101" s="7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 s="4">
        <v>4.4</v>
      </c>
      <c r="M101" s="4">
        <v>675177.68</v>
      </c>
      <c r="N101" s="4">
        <v>105628.68</v>
      </c>
      <c r="O101">
        <f t="shared" si="4"/>
        <v>0</v>
      </c>
      <c r="P101">
        <f t="shared" si="5"/>
        <v>0</v>
      </c>
      <c r="Q101">
        <f t="shared" si="6"/>
        <v>0</v>
      </c>
    </row>
    <row r="102" spans="1:17">
      <c r="A102" s="4" t="s">
        <v>47</v>
      </c>
      <c r="B102" s="7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 s="4">
        <v>4.4</v>
      </c>
      <c r="M102" s="4">
        <v>635181.35</v>
      </c>
      <c r="N102" s="4">
        <v>83341.25</v>
      </c>
      <c r="O102">
        <f t="shared" si="4"/>
        <v>1</v>
      </c>
      <c r="P102">
        <f t="shared" si="5"/>
        <v>0</v>
      </c>
      <c r="Q102">
        <f t="shared" si="6"/>
        <v>0</v>
      </c>
    </row>
    <row r="103" spans="1:17">
      <c r="A103" s="4" t="s">
        <v>47</v>
      </c>
      <c r="B103" s="7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0.173</v>
      </c>
      <c r="H103" s="4">
        <v>14</v>
      </c>
      <c r="I103" s="4">
        <v>90.4</v>
      </c>
      <c r="J103" s="4">
        <v>7.87</v>
      </c>
      <c r="K103" s="4">
        <v>0</v>
      </c>
      <c r="L103" s="4">
        <v>4.7</v>
      </c>
      <c r="M103" s="4">
        <v>586626.94</v>
      </c>
      <c r="N103" s="4">
        <v>86498.55</v>
      </c>
      <c r="O103">
        <f t="shared" si="4"/>
        <v>1</v>
      </c>
      <c r="P103">
        <f t="shared" si="5"/>
        <v>0</v>
      </c>
      <c r="Q103">
        <f t="shared" si="6"/>
        <v>0</v>
      </c>
    </row>
    <row r="104" spans="1:17">
      <c r="A104" s="4" t="s">
        <v>47</v>
      </c>
      <c r="B104" s="7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 s="4">
        <v>4.4</v>
      </c>
      <c r="M104" s="4">
        <v>740102.64</v>
      </c>
      <c r="N104" s="4">
        <v>114299.07</v>
      </c>
      <c r="O104">
        <f t="shared" si="4"/>
        <v>1</v>
      </c>
      <c r="P104">
        <f t="shared" si="5"/>
        <v>0</v>
      </c>
      <c r="Q104">
        <f t="shared" si="6"/>
        <v>0</v>
      </c>
    </row>
    <row r="105" spans="1:17">
      <c r="A105" s="4" t="s">
        <v>47</v>
      </c>
      <c r="B105" s="7">
        <v>45748</v>
      </c>
      <c r="C105" s="4" t="s">
        <v>15</v>
      </c>
      <c r="D105" s="4" t="s">
        <v>28</v>
      </c>
      <c r="E105" s="4">
        <v>32266.64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 s="4">
        <v>5</v>
      </c>
      <c r="M105" s="4">
        <v>625514.04</v>
      </c>
      <c r="N105" s="4">
        <v>120685.08</v>
      </c>
      <c r="O105">
        <f t="shared" si="4"/>
        <v>1</v>
      </c>
      <c r="P105">
        <f t="shared" si="5"/>
        <v>0</v>
      </c>
      <c r="Q105">
        <f t="shared" si="6"/>
        <v>0</v>
      </c>
    </row>
    <row r="106" spans="1:17">
      <c r="A106" s="4" t="s">
        <v>48</v>
      </c>
      <c r="B106" s="7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0.103</v>
      </c>
      <c r="H106" s="4">
        <v>21</v>
      </c>
      <c r="I106" s="4">
        <v>82.3</v>
      </c>
      <c r="J106" s="4">
        <v>2.87</v>
      </c>
      <c r="K106" s="4">
        <v>0</v>
      </c>
      <c r="L106" s="4">
        <v>2.9</v>
      </c>
      <c r="M106" s="4">
        <v>727227.2</v>
      </c>
      <c r="N106" s="4">
        <v>121292.01</v>
      </c>
      <c r="O106">
        <f t="shared" si="4"/>
        <v>0</v>
      </c>
      <c r="P106">
        <f t="shared" si="5"/>
        <v>0</v>
      </c>
      <c r="Q106">
        <f t="shared" si="6"/>
        <v>0</v>
      </c>
    </row>
    <row r="107" spans="1:17">
      <c r="A107" s="4" t="s">
        <v>48</v>
      </c>
      <c r="B107" s="7">
        <v>45689</v>
      </c>
      <c r="C107" s="4" t="s">
        <v>27</v>
      </c>
      <c r="D107" s="4" t="s">
        <v>18</v>
      </c>
      <c r="E107" s="4">
        <v>74679.35</v>
      </c>
      <c r="F107" s="4">
        <v>8739</v>
      </c>
      <c r="G107" s="4">
        <v>0.056</v>
      </c>
      <c r="H107" s="4">
        <v>21</v>
      </c>
      <c r="I107" s="4">
        <v>91.8</v>
      </c>
      <c r="J107" s="4">
        <v>2.83</v>
      </c>
      <c r="K107" s="4">
        <v>0</v>
      </c>
      <c r="L107" s="4">
        <v>3</v>
      </c>
      <c r="M107" s="4">
        <v>783797.89</v>
      </c>
      <c r="N107" s="4">
        <v>157620.7</v>
      </c>
      <c r="O107">
        <f t="shared" si="4"/>
        <v>0</v>
      </c>
      <c r="P107">
        <f t="shared" si="5"/>
        <v>0</v>
      </c>
      <c r="Q107">
        <f t="shared" si="6"/>
        <v>0</v>
      </c>
    </row>
    <row r="108" spans="1:17">
      <c r="A108" s="4" t="s">
        <v>48</v>
      </c>
      <c r="B108" s="7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</v>
      </c>
      <c r="H108" s="4">
        <v>14</v>
      </c>
      <c r="I108" s="4">
        <v>94.1</v>
      </c>
      <c r="J108" s="4">
        <v>0.25</v>
      </c>
      <c r="K108" s="4">
        <v>0</v>
      </c>
      <c r="L108" s="4">
        <v>3</v>
      </c>
      <c r="M108" s="4">
        <v>795153.84</v>
      </c>
      <c r="N108" s="4">
        <v>143194.21</v>
      </c>
      <c r="O108">
        <f t="shared" si="4"/>
        <v>0</v>
      </c>
      <c r="P108">
        <f t="shared" si="5"/>
        <v>0</v>
      </c>
      <c r="Q108">
        <f t="shared" si="6"/>
        <v>0</v>
      </c>
    </row>
    <row r="109" spans="1:17">
      <c r="A109" s="4" t="s">
        <v>48</v>
      </c>
      <c r="B109" s="7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0.051</v>
      </c>
      <c r="H109" s="4">
        <v>15</v>
      </c>
      <c r="I109" s="4">
        <v>87</v>
      </c>
      <c r="J109" s="4">
        <v>13.33</v>
      </c>
      <c r="K109" s="4">
        <v>0</v>
      </c>
      <c r="L109" s="4">
        <v>3.2</v>
      </c>
      <c r="M109" s="4">
        <v>665594.94</v>
      </c>
      <c r="N109" s="4">
        <v>127597.34</v>
      </c>
      <c r="O109">
        <f t="shared" si="4"/>
        <v>0</v>
      </c>
      <c r="P109">
        <f t="shared" si="5"/>
        <v>0</v>
      </c>
      <c r="Q109">
        <f t="shared" si="6"/>
        <v>0</v>
      </c>
    </row>
    <row r="110" spans="1:17">
      <c r="A110" s="4" t="s">
        <v>49</v>
      </c>
      <c r="B110" s="7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 s="4">
        <v>3.8</v>
      </c>
      <c r="M110" s="4">
        <v>709478.39</v>
      </c>
      <c r="N110" s="4">
        <v>71294.27</v>
      </c>
      <c r="O110">
        <f t="shared" si="4"/>
        <v>1</v>
      </c>
      <c r="P110">
        <f t="shared" si="5"/>
        <v>0</v>
      </c>
      <c r="Q110">
        <f t="shared" si="6"/>
        <v>0</v>
      </c>
    </row>
    <row r="111" spans="1:17">
      <c r="A111" s="4" t="s">
        <v>49</v>
      </c>
      <c r="B111" s="7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0.292</v>
      </c>
      <c r="H111" s="4">
        <v>13</v>
      </c>
      <c r="I111" s="4">
        <v>86.5</v>
      </c>
      <c r="J111" s="4">
        <v>6.69</v>
      </c>
      <c r="K111" s="4">
        <v>0</v>
      </c>
      <c r="L111" s="4">
        <v>3.8</v>
      </c>
      <c r="M111" s="4">
        <v>664162.49</v>
      </c>
      <c r="N111" s="4">
        <v>98291.06</v>
      </c>
      <c r="O111">
        <f t="shared" si="4"/>
        <v>1</v>
      </c>
      <c r="P111">
        <f t="shared" si="5"/>
        <v>0</v>
      </c>
      <c r="Q111">
        <f t="shared" si="6"/>
        <v>0</v>
      </c>
    </row>
    <row r="112" spans="1:17">
      <c r="A112" s="4" t="s">
        <v>49</v>
      </c>
      <c r="B112" s="7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0.089</v>
      </c>
      <c r="H112" s="4">
        <v>13</v>
      </c>
      <c r="I112" s="4">
        <v>89.9</v>
      </c>
      <c r="J112" s="4">
        <v>1.28</v>
      </c>
      <c r="K112" s="4">
        <v>0</v>
      </c>
      <c r="L112" s="4">
        <v>4.2</v>
      </c>
      <c r="M112" s="4">
        <v>633494.21</v>
      </c>
      <c r="N112" s="4">
        <v>105739.47</v>
      </c>
      <c r="O112">
        <f t="shared" si="4"/>
        <v>1</v>
      </c>
      <c r="P112">
        <f t="shared" si="5"/>
        <v>0</v>
      </c>
      <c r="Q112">
        <f t="shared" si="6"/>
        <v>0</v>
      </c>
    </row>
    <row r="113" spans="1:17">
      <c r="A113" s="4" t="s">
        <v>49</v>
      </c>
      <c r="B113" s="7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0.057</v>
      </c>
      <c r="H113" s="4">
        <v>12</v>
      </c>
      <c r="I113" s="4">
        <v>91.7</v>
      </c>
      <c r="J113" s="4">
        <v>0.92</v>
      </c>
      <c r="K113" s="4">
        <v>0</v>
      </c>
      <c r="L113" s="4">
        <v>3.5</v>
      </c>
      <c r="M113" s="4">
        <v>713611.16</v>
      </c>
      <c r="N113" s="4">
        <v>129717.18</v>
      </c>
      <c r="O113">
        <f t="shared" si="4"/>
        <v>1</v>
      </c>
      <c r="P113">
        <f t="shared" si="5"/>
        <v>0</v>
      </c>
      <c r="Q113">
        <f t="shared" si="6"/>
        <v>0</v>
      </c>
    </row>
    <row r="114" spans="1:17">
      <c r="A114" s="4" t="s">
        <v>50</v>
      </c>
      <c r="B114" s="7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0.173</v>
      </c>
      <c r="H114" s="4">
        <v>22</v>
      </c>
      <c r="I114" s="4">
        <v>76.4</v>
      </c>
      <c r="J114" s="4">
        <v>1.05</v>
      </c>
      <c r="K114" s="4">
        <v>0</v>
      </c>
      <c r="L114" s="4">
        <v>3.1</v>
      </c>
      <c r="M114" s="4">
        <v>778397.97</v>
      </c>
      <c r="N114" s="4">
        <v>120044.41</v>
      </c>
      <c r="O114">
        <f t="shared" si="4"/>
        <v>0</v>
      </c>
      <c r="P114">
        <f t="shared" si="5"/>
        <v>0</v>
      </c>
      <c r="Q114">
        <f t="shared" si="6"/>
        <v>0</v>
      </c>
    </row>
    <row r="115" spans="1:17">
      <c r="A115" s="4" t="s">
        <v>50</v>
      </c>
      <c r="B115" s="7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0.142</v>
      </c>
      <c r="H115" s="4">
        <v>22</v>
      </c>
      <c r="I115" s="4">
        <v>94.3</v>
      </c>
      <c r="J115" s="4">
        <v>2.67</v>
      </c>
      <c r="K115" s="4">
        <v>0</v>
      </c>
      <c r="L115" s="4">
        <v>3.5</v>
      </c>
      <c r="M115" s="4">
        <v>873380.02</v>
      </c>
      <c r="N115" s="4">
        <v>149734.76</v>
      </c>
      <c r="O115">
        <f t="shared" si="4"/>
        <v>0</v>
      </c>
      <c r="P115">
        <f t="shared" si="5"/>
        <v>0</v>
      </c>
      <c r="Q115">
        <f t="shared" si="6"/>
        <v>0</v>
      </c>
    </row>
    <row r="116" spans="1:17">
      <c r="A116" s="4" t="s">
        <v>50</v>
      </c>
      <c r="B116" s="7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 s="4">
        <v>2.8</v>
      </c>
      <c r="M116" s="4">
        <v>697287.9</v>
      </c>
      <c r="N116" s="4">
        <v>128208.33</v>
      </c>
      <c r="O116">
        <f t="shared" si="4"/>
        <v>0</v>
      </c>
      <c r="P116">
        <f t="shared" si="5"/>
        <v>0</v>
      </c>
      <c r="Q116">
        <f t="shared" si="6"/>
        <v>0</v>
      </c>
    </row>
    <row r="117" spans="1:17">
      <c r="A117" s="4" t="s">
        <v>50</v>
      </c>
      <c r="B117" s="7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</v>
      </c>
      <c r="H117" s="4">
        <v>23</v>
      </c>
      <c r="I117" s="4">
        <v>92.5</v>
      </c>
      <c r="J117" s="4">
        <v>6.37</v>
      </c>
      <c r="K117" s="4">
        <v>0</v>
      </c>
      <c r="L117" s="4">
        <v>3.3</v>
      </c>
      <c r="M117" s="4">
        <v>718074.79</v>
      </c>
      <c r="N117" s="4">
        <v>115819.87</v>
      </c>
      <c r="O117">
        <f t="shared" si="4"/>
        <v>0</v>
      </c>
      <c r="P117">
        <f t="shared" si="5"/>
        <v>0</v>
      </c>
      <c r="Q117">
        <f t="shared" si="6"/>
        <v>0</v>
      </c>
    </row>
    <row r="118" spans="1:17">
      <c r="A118" s="4" t="s">
        <v>51</v>
      </c>
      <c r="B118" s="7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</v>
      </c>
      <c r="K118" s="4">
        <v>1</v>
      </c>
      <c r="L118" s="4">
        <v>4.7</v>
      </c>
      <c r="M118" s="4">
        <v>714942.43</v>
      </c>
      <c r="N118" s="4">
        <v>94697.71</v>
      </c>
      <c r="O118">
        <f t="shared" si="4"/>
        <v>0</v>
      </c>
      <c r="P118">
        <f t="shared" si="5"/>
        <v>0</v>
      </c>
      <c r="Q118">
        <f t="shared" si="6"/>
        <v>0</v>
      </c>
    </row>
    <row r="119" spans="1:17">
      <c r="A119" s="4" t="s">
        <v>51</v>
      </c>
      <c r="B119" s="7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 s="4">
        <v>4.7</v>
      </c>
      <c r="M119" s="4">
        <v>820519.04</v>
      </c>
      <c r="N119" s="4">
        <v>99035.88</v>
      </c>
      <c r="O119">
        <f t="shared" si="4"/>
        <v>0</v>
      </c>
      <c r="P119">
        <f t="shared" si="5"/>
        <v>0</v>
      </c>
      <c r="Q119">
        <f t="shared" si="6"/>
        <v>0</v>
      </c>
    </row>
    <row r="120" spans="1:17">
      <c r="A120" s="4" t="s">
        <v>51</v>
      </c>
      <c r="B120" s="7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</v>
      </c>
      <c r="H120" s="4">
        <v>18</v>
      </c>
      <c r="I120" s="4">
        <v>96.8</v>
      </c>
      <c r="J120" s="4">
        <v>14.95</v>
      </c>
      <c r="K120" s="4">
        <v>0</v>
      </c>
      <c r="L120" s="4">
        <v>4.6</v>
      </c>
      <c r="M120" s="4">
        <v>684217.32</v>
      </c>
      <c r="N120" s="4">
        <v>136217.19</v>
      </c>
      <c r="O120">
        <f t="shared" si="4"/>
        <v>0</v>
      </c>
      <c r="P120">
        <f t="shared" si="5"/>
        <v>0</v>
      </c>
      <c r="Q120">
        <f t="shared" si="6"/>
        <v>0</v>
      </c>
    </row>
    <row r="121" spans="1:17">
      <c r="A121" s="4" t="s">
        <v>51</v>
      </c>
      <c r="B121" s="7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</v>
      </c>
      <c r="H121" s="4">
        <v>19</v>
      </c>
      <c r="I121" s="4">
        <v>95.7</v>
      </c>
      <c r="J121" s="4">
        <v>7.85</v>
      </c>
      <c r="K121" s="4">
        <v>0</v>
      </c>
      <c r="L121" s="4">
        <v>4.7</v>
      </c>
      <c r="M121" s="4">
        <v>735480.19</v>
      </c>
      <c r="N121" s="4">
        <v>88342.11</v>
      </c>
      <c r="O121">
        <f t="shared" si="4"/>
        <v>0</v>
      </c>
      <c r="P121">
        <f t="shared" si="5"/>
        <v>0</v>
      </c>
      <c r="Q121">
        <f t="shared" si="6"/>
        <v>0</v>
      </c>
    </row>
    <row r="122" spans="1:17">
      <c r="A122" s="4" t="s">
        <v>52</v>
      </c>
      <c r="B122" s="7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0.088</v>
      </c>
      <c r="H122" s="4">
        <v>13</v>
      </c>
      <c r="I122" s="4">
        <v>83</v>
      </c>
      <c r="J122" s="4">
        <v>6.8</v>
      </c>
      <c r="K122" s="4">
        <v>0</v>
      </c>
      <c r="L122" s="4">
        <v>4.4</v>
      </c>
      <c r="M122" s="4">
        <v>509484.81</v>
      </c>
      <c r="N122" s="4">
        <v>85742.36</v>
      </c>
      <c r="O122">
        <f t="shared" si="4"/>
        <v>0</v>
      </c>
      <c r="P122">
        <f t="shared" si="5"/>
        <v>1</v>
      </c>
      <c r="Q122">
        <f t="shared" si="6"/>
        <v>0</v>
      </c>
    </row>
    <row r="123" spans="1:17">
      <c r="A123" s="4" t="s">
        <v>52</v>
      </c>
      <c r="B123" s="7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</v>
      </c>
      <c r="K123" s="4">
        <v>0</v>
      </c>
      <c r="L123" s="4">
        <v>3.7</v>
      </c>
      <c r="M123" s="4">
        <v>654317.09</v>
      </c>
      <c r="N123" s="4">
        <v>121446.89</v>
      </c>
      <c r="O123">
        <f t="shared" si="4"/>
        <v>0</v>
      </c>
      <c r="P123">
        <f t="shared" si="5"/>
        <v>1</v>
      </c>
      <c r="Q123">
        <f t="shared" si="6"/>
        <v>0</v>
      </c>
    </row>
    <row r="124" spans="1:17">
      <c r="A124" s="4" t="s">
        <v>52</v>
      </c>
      <c r="B124" s="7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0.069</v>
      </c>
      <c r="H124" s="4">
        <v>15</v>
      </c>
      <c r="I124" s="4">
        <v>85.7</v>
      </c>
      <c r="J124" s="4">
        <v>1.88</v>
      </c>
      <c r="K124" s="4">
        <v>0</v>
      </c>
      <c r="L124" s="4">
        <v>3.9</v>
      </c>
      <c r="M124" s="4">
        <v>557487.26</v>
      </c>
      <c r="N124" s="4">
        <v>76432.19</v>
      </c>
      <c r="O124">
        <f t="shared" si="4"/>
        <v>0</v>
      </c>
      <c r="P124">
        <f t="shared" si="5"/>
        <v>1</v>
      </c>
      <c r="Q124">
        <f t="shared" si="6"/>
        <v>0</v>
      </c>
    </row>
    <row r="125" spans="1:17">
      <c r="A125" s="4" t="s">
        <v>52</v>
      </c>
      <c r="B125" s="7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 s="4">
        <v>4.4</v>
      </c>
      <c r="M125" s="4">
        <v>441275.42</v>
      </c>
      <c r="N125" s="4">
        <v>58234.87</v>
      </c>
      <c r="O125">
        <f t="shared" si="4"/>
        <v>0</v>
      </c>
      <c r="P125">
        <f t="shared" si="5"/>
        <v>1</v>
      </c>
      <c r="Q125">
        <f t="shared" si="6"/>
        <v>0</v>
      </c>
    </row>
    <row r="126" spans="1:17">
      <c r="A126" s="4" t="s">
        <v>53</v>
      </c>
      <c r="B126" s="7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 s="4">
        <v>4.8</v>
      </c>
      <c r="M126" s="4">
        <v>914544.17</v>
      </c>
      <c r="N126" s="4">
        <v>79831.73</v>
      </c>
      <c r="O126">
        <f t="shared" si="4"/>
        <v>0</v>
      </c>
      <c r="P126">
        <f t="shared" si="5"/>
        <v>0</v>
      </c>
      <c r="Q126">
        <f t="shared" si="6"/>
        <v>1</v>
      </c>
    </row>
    <row r="127" spans="1:17">
      <c r="A127" s="4" t="s">
        <v>53</v>
      </c>
      <c r="B127" s="7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0.176</v>
      </c>
      <c r="H127" s="4">
        <v>27</v>
      </c>
      <c r="I127" s="4">
        <v>98.3</v>
      </c>
      <c r="J127" s="4">
        <v>0.54</v>
      </c>
      <c r="K127" s="4">
        <v>0</v>
      </c>
      <c r="L127" s="4">
        <v>4.4</v>
      </c>
      <c r="M127" s="4">
        <v>842439.67</v>
      </c>
      <c r="N127" s="4">
        <v>169983.63</v>
      </c>
      <c r="O127">
        <f t="shared" si="4"/>
        <v>0</v>
      </c>
      <c r="P127">
        <f t="shared" si="5"/>
        <v>0</v>
      </c>
      <c r="Q127">
        <f t="shared" si="6"/>
        <v>1</v>
      </c>
    </row>
    <row r="128" spans="1:17">
      <c r="A128" s="4" t="s">
        <v>53</v>
      </c>
      <c r="B128" s="7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0.204</v>
      </c>
      <c r="H128" s="4">
        <v>20</v>
      </c>
      <c r="I128" s="4">
        <v>88.2</v>
      </c>
      <c r="J128" s="4">
        <v>5.37</v>
      </c>
      <c r="K128" s="4">
        <v>1</v>
      </c>
      <c r="L128" s="4">
        <v>4.9</v>
      </c>
      <c r="M128" s="4">
        <v>842157.92</v>
      </c>
      <c r="N128" s="4">
        <v>107348.22</v>
      </c>
      <c r="O128">
        <f t="shared" si="4"/>
        <v>0</v>
      </c>
      <c r="P128">
        <f t="shared" si="5"/>
        <v>0</v>
      </c>
      <c r="Q128">
        <f t="shared" si="6"/>
        <v>1</v>
      </c>
    </row>
    <row r="129" spans="1:17">
      <c r="A129" s="4" t="s">
        <v>53</v>
      </c>
      <c r="B129" s="7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0.096</v>
      </c>
      <c r="H129" s="4">
        <v>19</v>
      </c>
      <c r="I129" s="4">
        <v>81.5</v>
      </c>
      <c r="J129" s="4">
        <v>3.19</v>
      </c>
      <c r="K129" s="4">
        <v>0</v>
      </c>
      <c r="L129" s="4">
        <v>4.8</v>
      </c>
      <c r="M129" s="4">
        <v>697155.3</v>
      </c>
      <c r="N129" s="4">
        <v>136408.54</v>
      </c>
      <c r="O129">
        <f t="shared" si="4"/>
        <v>0</v>
      </c>
      <c r="P129">
        <f t="shared" si="5"/>
        <v>0</v>
      </c>
      <c r="Q129">
        <f t="shared" si="6"/>
        <v>1</v>
      </c>
    </row>
    <row r="130" spans="1:17">
      <c r="A130" s="4" t="s">
        <v>54</v>
      </c>
      <c r="B130" s="7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0.142</v>
      </c>
      <c r="H130" s="4">
        <v>27</v>
      </c>
      <c r="I130" s="4">
        <v>88.3</v>
      </c>
      <c r="J130" s="4">
        <v>1.1</v>
      </c>
      <c r="K130" s="4">
        <v>1</v>
      </c>
      <c r="L130" s="4">
        <v>4.4</v>
      </c>
      <c r="M130" s="4">
        <v>849018.3</v>
      </c>
      <c r="N130" s="4">
        <v>149035.13</v>
      </c>
      <c r="O130">
        <f t="shared" si="4"/>
        <v>1</v>
      </c>
      <c r="P130">
        <f t="shared" si="5"/>
        <v>0</v>
      </c>
      <c r="Q130">
        <f t="shared" si="6"/>
        <v>0</v>
      </c>
    </row>
    <row r="131" spans="1:17">
      <c r="A131" s="4" t="s">
        <v>54</v>
      </c>
      <c r="B131" s="7">
        <v>45689</v>
      </c>
      <c r="C131" s="4" t="s">
        <v>15</v>
      </c>
      <c r="D131" s="4" t="s">
        <v>18</v>
      </c>
      <c r="E131" s="4">
        <v>68410.93</v>
      </c>
      <c r="F131" s="4">
        <v>10596</v>
      </c>
      <c r="G131" s="4">
        <v>0.207</v>
      </c>
      <c r="H131" s="4">
        <v>25</v>
      </c>
      <c r="I131" s="4">
        <v>81.2</v>
      </c>
      <c r="J131" s="4">
        <v>0.21</v>
      </c>
      <c r="K131" s="4">
        <v>0</v>
      </c>
      <c r="L131" s="4">
        <v>4</v>
      </c>
      <c r="M131" s="4">
        <v>801830.35</v>
      </c>
      <c r="N131" s="4">
        <v>114875.32</v>
      </c>
      <c r="O131">
        <f t="shared" ref="O131:O194" si="7">IF(C131="East",1,0)</f>
        <v>1</v>
      </c>
      <c r="P131">
        <f t="shared" ref="P131:P194" si="8">IF(C131="North",1,0)</f>
        <v>0</v>
      </c>
      <c r="Q131">
        <f t="shared" si="6"/>
        <v>0</v>
      </c>
    </row>
    <row r="132" spans="1:17">
      <c r="A132" s="4" t="s">
        <v>54</v>
      </c>
      <c r="B132" s="7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0.144</v>
      </c>
      <c r="H132" s="4">
        <v>19</v>
      </c>
      <c r="I132" s="4">
        <v>93.8</v>
      </c>
      <c r="J132" s="4">
        <v>5.12</v>
      </c>
      <c r="K132" s="4">
        <v>1</v>
      </c>
      <c r="L132" s="4">
        <v>4.5</v>
      </c>
      <c r="M132" s="4">
        <v>725235.28</v>
      </c>
      <c r="N132" s="4">
        <v>121632.24</v>
      </c>
      <c r="O132">
        <f t="shared" si="7"/>
        <v>1</v>
      </c>
      <c r="P132">
        <f t="shared" si="8"/>
        <v>0</v>
      </c>
      <c r="Q132">
        <f t="shared" si="6"/>
        <v>0</v>
      </c>
    </row>
    <row r="133" spans="1:17">
      <c r="A133" s="4" t="s">
        <v>54</v>
      </c>
      <c r="B133" s="7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0.089</v>
      </c>
      <c r="H133" s="4">
        <v>25</v>
      </c>
      <c r="I133" s="4">
        <v>85</v>
      </c>
      <c r="J133" s="4">
        <v>9.77</v>
      </c>
      <c r="K133" s="4">
        <v>0</v>
      </c>
      <c r="L133" s="4">
        <v>4.5</v>
      </c>
      <c r="M133" s="4">
        <v>811452.72</v>
      </c>
      <c r="N133" s="4">
        <v>131325.67</v>
      </c>
      <c r="O133">
        <f t="shared" si="7"/>
        <v>1</v>
      </c>
      <c r="P133">
        <f t="shared" si="8"/>
        <v>0</v>
      </c>
      <c r="Q133">
        <f t="shared" si="6"/>
        <v>0</v>
      </c>
    </row>
    <row r="134" spans="1:17">
      <c r="A134" s="4" t="s">
        <v>55</v>
      </c>
      <c r="B134" s="7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0.079</v>
      </c>
      <c r="H134" s="4">
        <v>9</v>
      </c>
      <c r="I134" s="4">
        <v>87.9</v>
      </c>
      <c r="J134" s="4">
        <v>3.77</v>
      </c>
      <c r="K134" s="4">
        <v>0</v>
      </c>
      <c r="L134" s="4">
        <v>4.4</v>
      </c>
      <c r="M134" s="4">
        <v>527300.13</v>
      </c>
      <c r="N134" s="4">
        <v>84197.87</v>
      </c>
      <c r="O134">
        <f t="shared" si="7"/>
        <v>0</v>
      </c>
      <c r="P134">
        <f t="shared" si="8"/>
        <v>1</v>
      </c>
      <c r="Q134">
        <f t="shared" si="6"/>
        <v>0</v>
      </c>
    </row>
    <row r="135" spans="1:17">
      <c r="A135" s="4" t="s">
        <v>55</v>
      </c>
      <c r="B135" s="7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</v>
      </c>
      <c r="H135" s="4">
        <v>8</v>
      </c>
      <c r="I135" s="4">
        <v>81.1</v>
      </c>
      <c r="J135" s="4">
        <v>0.78</v>
      </c>
      <c r="K135" s="4">
        <v>0</v>
      </c>
      <c r="L135" s="4"/>
      <c r="M135" s="4">
        <v>400831.65</v>
      </c>
      <c r="N135" s="4">
        <v>70979.31</v>
      </c>
      <c r="O135">
        <f t="shared" si="7"/>
        <v>0</v>
      </c>
      <c r="P135">
        <f t="shared" si="8"/>
        <v>1</v>
      </c>
      <c r="Q135">
        <f t="shared" si="6"/>
        <v>0</v>
      </c>
    </row>
    <row r="136" spans="1:17">
      <c r="A136" s="4" t="s">
        <v>55</v>
      </c>
      <c r="B136" s="7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0.086</v>
      </c>
      <c r="H136" s="4">
        <v>11</v>
      </c>
      <c r="I136" s="4">
        <v>95.6</v>
      </c>
      <c r="J136" s="4">
        <v>5.17</v>
      </c>
      <c r="K136" s="4">
        <v>1</v>
      </c>
      <c r="L136" s="4">
        <v>4.4</v>
      </c>
      <c r="M136" s="4">
        <v>593247.25</v>
      </c>
      <c r="N136" s="4">
        <v>81240.29</v>
      </c>
      <c r="O136">
        <f t="shared" si="7"/>
        <v>0</v>
      </c>
      <c r="P136">
        <f t="shared" si="8"/>
        <v>1</v>
      </c>
      <c r="Q136">
        <f t="shared" si="6"/>
        <v>0</v>
      </c>
    </row>
    <row r="137" spans="1:17">
      <c r="A137" s="4" t="s">
        <v>55</v>
      </c>
      <c r="B137" s="7">
        <v>45748</v>
      </c>
      <c r="C137" s="4" t="s">
        <v>20</v>
      </c>
      <c r="D137" s="4" t="s">
        <v>18</v>
      </c>
      <c r="E137" s="4">
        <v>70366.76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 s="4">
        <v>4.6</v>
      </c>
      <c r="M137" s="4">
        <v>529075.95</v>
      </c>
      <c r="N137" s="4">
        <v>95978.83</v>
      </c>
      <c r="O137">
        <f t="shared" si="7"/>
        <v>0</v>
      </c>
      <c r="P137">
        <f t="shared" si="8"/>
        <v>1</v>
      </c>
      <c r="Q137">
        <f t="shared" si="6"/>
        <v>0</v>
      </c>
    </row>
    <row r="138" spans="1:17">
      <c r="A138" s="4" t="s">
        <v>56</v>
      </c>
      <c r="B138" s="7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0.048</v>
      </c>
      <c r="H138" s="4">
        <v>20</v>
      </c>
      <c r="I138" s="4">
        <v>78.1</v>
      </c>
      <c r="J138" s="4">
        <v>3.4</v>
      </c>
      <c r="K138" s="4">
        <v>0</v>
      </c>
      <c r="L138" s="4"/>
      <c r="M138" s="4">
        <v>633638.03</v>
      </c>
      <c r="N138" s="4">
        <v>99402.01</v>
      </c>
      <c r="O138">
        <f t="shared" si="7"/>
        <v>0</v>
      </c>
      <c r="P138">
        <f t="shared" si="8"/>
        <v>0</v>
      </c>
      <c r="Q138">
        <f t="shared" si="6"/>
        <v>1</v>
      </c>
    </row>
    <row r="139" spans="1:17">
      <c r="A139" s="4" t="s">
        <v>56</v>
      </c>
      <c r="B139" s="7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0.079</v>
      </c>
      <c r="H139" s="4">
        <v>15</v>
      </c>
      <c r="I139" s="4">
        <v>96.3</v>
      </c>
      <c r="J139" s="4">
        <v>7.38</v>
      </c>
      <c r="K139" s="4">
        <v>0</v>
      </c>
      <c r="L139" s="4">
        <v>3.7</v>
      </c>
      <c r="M139" s="4">
        <v>743348.84</v>
      </c>
      <c r="N139" s="4">
        <v>104186.09</v>
      </c>
      <c r="O139">
        <f t="shared" si="7"/>
        <v>0</v>
      </c>
      <c r="P139">
        <f t="shared" si="8"/>
        <v>0</v>
      </c>
      <c r="Q139">
        <f t="shared" si="6"/>
        <v>1</v>
      </c>
    </row>
    <row r="140" spans="1:17">
      <c r="A140" s="4" t="s">
        <v>56</v>
      </c>
      <c r="B140" s="7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 s="4">
        <v>3.3</v>
      </c>
      <c r="M140" s="4">
        <v>758827.64</v>
      </c>
      <c r="N140" s="4">
        <v>161439.48</v>
      </c>
      <c r="O140">
        <f t="shared" si="7"/>
        <v>0</v>
      </c>
      <c r="P140">
        <f t="shared" si="8"/>
        <v>0</v>
      </c>
      <c r="Q140">
        <f t="shared" si="6"/>
        <v>1</v>
      </c>
    </row>
    <row r="141" spans="1:17">
      <c r="A141" s="4" t="s">
        <v>56</v>
      </c>
      <c r="B141" s="7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 s="4">
        <v>3.6</v>
      </c>
      <c r="M141" s="4">
        <v>646559.71</v>
      </c>
      <c r="N141" s="4">
        <v>97981.75</v>
      </c>
      <c r="O141">
        <f t="shared" si="7"/>
        <v>0</v>
      </c>
      <c r="P141">
        <f t="shared" si="8"/>
        <v>0</v>
      </c>
      <c r="Q141">
        <f t="shared" si="6"/>
        <v>1</v>
      </c>
    </row>
    <row r="142" spans="1:17">
      <c r="A142" s="4" t="s">
        <v>57</v>
      </c>
      <c r="B142" s="7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</v>
      </c>
      <c r="H142" s="4">
        <v>14</v>
      </c>
      <c r="I142" s="4">
        <v>88.8</v>
      </c>
      <c r="J142" s="4">
        <v>0.77</v>
      </c>
      <c r="K142" s="4">
        <v>0</v>
      </c>
      <c r="L142" s="4">
        <v>4.1</v>
      </c>
      <c r="M142" s="4">
        <v>715890.53</v>
      </c>
      <c r="N142" s="4">
        <v>109032.15</v>
      </c>
      <c r="O142">
        <f t="shared" si="7"/>
        <v>0</v>
      </c>
      <c r="P142">
        <f t="shared" si="8"/>
        <v>0</v>
      </c>
      <c r="Q142">
        <f t="shared" si="6"/>
        <v>0</v>
      </c>
    </row>
    <row r="143" spans="1:17">
      <c r="A143" s="4" t="s">
        <v>57</v>
      </c>
      <c r="B143" s="7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0.038</v>
      </c>
      <c r="H143" s="4">
        <v>15</v>
      </c>
      <c r="I143" s="4">
        <v>94.2</v>
      </c>
      <c r="J143" s="4">
        <v>2.92</v>
      </c>
      <c r="K143" s="4">
        <v>0</v>
      </c>
      <c r="L143" s="4">
        <v>4.2</v>
      </c>
      <c r="M143" s="4">
        <v>715097.57</v>
      </c>
      <c r="N143" s="4">
        <v>151875.86</v>
      </c>
      <c r="O143">
        <f t="shared" si="7"/>
        <v>0</v>
      </c>
      <c r="P143">
        <f t="shared" si="8"/>
        <v>0</v>
      </c>
      <c r="Q143">
        <f t="shared" si="6"/>
        <v>0</v>
      </c>
    </row>
    <row r="144" spans="1:17">
      <c r="A144" s="4" t="s">
        <v>57</v>
      </c>
      <c r="B144" s="7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0.069</v>
      </c>
      <c r="H144" s="4">
        <v>18</v>
      </c>
      <c r="I144" s="4">
        <v>88.5</v>
      </c>
      <c r="J144" s="4">
        <v>3.07</v>
      </c>
      <c r="K144" s="4">
        <v>0</v>
      </c>
      <c r="L144" s="4">
        <v>3.8</v>
      </c>
      <c r="M144" s="4">
        <v>682639.28</v>
      </c>
      <c r="N144" s="4">
        <v>77557.53</v>
      </c>
      <c r="O144">
        <f t="shared" si="7"/>
        <v>0</v>
      </c>
      <c r="P144">
        <f t="shared" si="8"/>
        <v>0</v>
      </c>
      <c r="Q144">
        <f t="shared" si="6"/>
        <v>0</v>
      </c>
    </row>
    <row r="145" spans="1:17">
      <c r="A145" s="4" t="s">
        <v>57</v>
      </c>
      <c r="B145" s="7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9.7</v>
      </c>
      <c r="K145" s="4">
        <v>0</v>
      </c>
      <c r="L145" s="4">
        <v>3.9</v>
      </c>
      <c r="M145" s="4">
        <v>695098.51</v>
      </c>
      <c r="N145" s="4">
        <v>108192.75</v>
      </c>
      <c r="O145">
        <f t="shared" si="7"/>
        <v>0</v>
      </c>
      <c r="P145">
        <f t="shared" si="8"/>
        <v>0</v>
      </c>
      <c r="Q145">
        <f t="shared" si="6"/>
        <v>0</v>
      </c>
    </row>
    <row r="146" spans="1:17">
      <c r="A146" s="4" t="s">
        <v>58</v>
      </c>
      <c r="B146" s="7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</v>
      </c>
      <c r="H146" s="4">
        <v>12</v>
      </c>
      <c r="I146" s="4">
        <v>90.2</v>
      </c>
      <c r="J146" s="4">
        <v>3.71</v>
      </c>
      <c r="K146" s="4">
        <v>0</v>
      </c>
      <c r="L146" s="4">
        <v>3.2</v>
      </c>
      <c r="M146" s="4">
        <v>577732.57</v>
      </c>
      <c r="N146" s="4">
        <v>93804.27</v>
      </c>
      <c r="O146">
        <f t="shared" si="7"/>
        <v>0</v>
      </c>
      <c r="P146">
        <f t="shared" si="8"/>
        <v>1</v>
      </c>
      <c r="Q146">
        <f t="shared" si="6"/>
        <v>0</v>
      </c>
    </row>
    <row r="147" spans="1:17">
      <c r="A147" s="4" t="s">
        <v>58</v>
      </c>
      <c r="B147" s="7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 s="4">
        <v>3.5</v>
      </c>
      <c r="M147" s="4">
        <v>537058.33</v>
      </c>
      <c r="N147" s="4">
        <v>93555.71</v>
      </c>
      <c r="O147">
        <f t="shared" si="7"/>
        <v>0</v>
      </c>
      <c r="P147">
        <f t="shared" si="8"/>
        <v>1</v>
      </c>
      <c r="Q147">
        <f t="shared" si="6"/>
        <v>0</v>
      </c>
    </row>
    <row r="148" spans="1:17">
      <c r="A148" s="4" t="s">
        <v>58</v>
      </c>
      <c r="B148" s="7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 s="4">
        <v>3.4</v>
      </c>
      <c r="M148" s="4">
        <v>601568.87</v>
      </c>
      <c r="N148" s="4">
        <v>91634.82</v>
      </c>
      <c r="O148">
        <f t="shared" si="7"/>
        <v>0</v>
      </c>
      <c r="P148">
        <f t="shared" si="8"/>
        <v>1</v>
      </c>
      <c r="Q148">
        <f t="shared" si="6"/>
        <v>0</v>
      </c>
    </row>
    <row r="149" spans="1:17">
      <c r="A149" s="4" t="s">
        <v>58</v>
      </c>
      <c r="B149" s="7">
        <v>45748</v>
      </c>
      <c r="C149" s="4" t="s">
        <v>20</v>
      </c>
      <c r="D149" s="4" t="s">
        <v>16</v>
      </c>
      <c r="E149" s="4">
        <v>60322.4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 s="4">
        <v>3.4</v>
      </c>
      <c r="M149" s="4">
        <v>570964.84</v>
      </c>
      <c r="N149" s="4">
        <v>81331.07</v>
      </c>
      <c r="O149">
        <f t="shared" si="7"/>
        <v>0</v>
      </c>
      <c r="P149">
        <f t="shared" si="8"/>
        <v>1</v>
      </c>
      <c r="Q149">
        <f t="shared" si="6"/>
        <v>0</v>
      </c>
    </row>
    <row r="150" spans="1:17">
      <c r="A150" s="4" t="s">
        <v>59</v>
      </c>
      <c r="B150" s="7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0.047</v>
      </c>
      <c r="H150" s="4">
        <v>17</v>
      </c>
      <c r="I150" s="4">
        <v>88.1</v>
      </c>
      <c r="J150" s="4">
        <v>19.78</v>
      </c>
      <c r="K150" s="4">
        <v>0</v>
      </c>
      <c r="L150" s="4">
        <v>3.8</v>
      </c>
      <c r="M150" s="4">
        <v>614024.91</v>
      </c>
      <c r="N150" s="4">
        <v>84828.93</v>
      </c>
      <c r="O150">
        <f t="shared" si="7"/>
        <v>0</v>
      </c>
      <c r="P150">
        <f t="shared" si="8"/>
        <v>0</v>
      </c>
      <c r="Q150">
        <f t="shared" ref="Q150:Q213" si="9">IF(C150="South",1,0)</f>
        <v>1</v>
      </c>
    </row>
    <row r="151" spans="1:17">
      <c r="A151" s="4" t="s">
        <v>59</v>
      </c>
      <c r="B151" s="7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0.044</v>
      </c>
      <c r="H151" s="4">
        <v>13</v>
      </c>
      <c r="I151" s="4">
        <v>99</v>
      </c>
      <c r="J151" s="4">
        <v>5.45</v>
      </c>
      <c r="K151" s="4">
        <v>0</v>
      </c>
      <c r="L151" s="4">
        <v>4.1</v>
      </c>
      <c r="M151" s="4">
        <v>712868.35</v>
      </c>
      <c r="N151" s="4">
        <v>133650.51</v>
      </c>
      <c r="O151">
        <f t="shared" si="7"/>
        <v>0</v>
      </c>
      <c r="P151">
        <f t="shared" si="8"/>
        <v>0</v>
      </c>
      <c r="Q151">
        <f t="shared" si="9"/>
        <v>1</v>
      </c>
    </row>
    <row r="152" spans="1:17">
      <c r="A152" s="4" t="s">
        <v>59</v>
      </c>
      <c r="B152" s="7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 s="4">
        <v>3.7</v>
      </c>
      <c r="M152" s="4">
        <v>696744.15</v>
      </c>
      <c r="N152" s="4">
        <v>152230.09</v>
      </c>
      <c r="O152">
        <f t="shared" si="7"/>
        <v>0</v>
      </c>
      <c r="P152">
        <f t="shared" si="8"/>
        <v>0</v>
      </c>
      <c r="Q152">
        <f t="shared" si="9"/>
        <v>1</v>
      </c>
    </row>
    <row r="153" spans="1:17">
      <c r="A153" s="4" t="s">
        <v>59</v>
      </c>
      <c r="B153" s="7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</v>
      </c>
      <c r="H153" s="4">
        <v>15</v>
      </c>
      <c r="I153" s="4">
        <v>94.3</v>
      </c>
      <c r="J153" s="4">
        <v>3.55</v>
      </c>
      <c r="K153" s="4">
        <v>0</v>
      </c>
      <c r="L153" s="4">
        <v>4.1</v>
      </c>
      <c r="M153" s="4">
        <v>725847.99</v>
      </c>
      <c r="N153" s="4">
        <v>122698.73</v>
      </c>
      <c r="O153">
        <f t="shared" si="7"/>
        <v>0</v>
      </c>
      <c r="P153">
        <f t="shared" si="8"/>
        <v>0</v>
      </c>
      <c r="Q153">
        <f t="shared" si="9"/>
        <v>1</v>
      </c>
    </row>
    <row r="154" spans="1:17">
      <c r="A154" s="4" t="s">
        <v>60</v>
      </c>
      <c r="B154" s="7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</v>
      </c>
      <c r="H154" s="4">
        <v>21</v>
      </c>
      <c r="I154" s="4">
        <v>87.4</v>
      </c>
      <c r="J154" s="4">
        <v>0.2</v>
      </c>
      <c r="K154" s="4">
        <v>0</v>
      </c>
      <c r="L154" s="4">
        <v>4.5</v>
      </c>
      <c r="M154" s="4">
        <v>785028.25</v>
      </c>
      <c r="N154" s="4">
        <v>110726.44</v>
      </c>
      <c r="O154">
        <f t="shared" si="7"/>
        <v>1</v>
      </c>
      <c r="P154">
        <f t="shared" si="8"/>
        <v>0</v>
      </c>
      <c r="Q154">
        <f t="shared" si="9"/>
        <v>0</v>
      </c>
    </row>
    <row r="155" spans="1:17">
      <c r="A155" s="4" t="s">
        <v>60</v>
      </c>
      <c r="B155" s="7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</v>
      </c>
      <c r="H155" s="4">
        <v>18</v>
      </c>
      <c r="I155" s="4">
        <v>87</v>
      </c>
      <c r="J155" s="4">
        <v>2.09</v>
      </c>
      <c r="K155" s="4">
        <v>0</v>
      </c>
      <c r="L155" s="4">
        <v>4.2</v>
      </c>
      <c r="M155" s="4">
        <v>698492.67</v>
      </c>
      <c r="N155" s="4">
        <v>117319.32</v>
      </c>
      <c r="O155">
        <f t="shared" si="7"/>
        <v>1</v>
      </c>
      <c r="P155">
        <f t="shared" si="8"/>
        <v>0</v>
      </c>
      <c r="Q155">
        <f t="shared" si="9"/>
        <v>0</v>
      </c>
    </row>
    <row r="156" spans="1:17">
      <c r="A156" s="4" t="s">
        <v>60</v>
      </c>
      <c r="B156" s="7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2.26</v>
      </c>
      <c r="K156" s="4">
        <v>0</v>
      </c>
      <c r="L156" s="4">
        <v>4.2</v>
      </c>
      <c r="M156" s="4">
        <v>685830.24</v>
      </c>
      <c r="N156" s="4">
        <v>128736.18</v>
      </c>
      <c r="O156">
        <f t="shared" si="7"/>
        <v>1</v>
      </c>
      <c r="P156">
        <f t="shared" si="8"/>
        <v>0</v>
      </c>
      <c r="Q156">
        <f t="shared" si="9"/>
        <v>0</v>
      </c>
    </row>
    <row r="157" spans="1:17">
      <c r="A157" s="4" t="s">
        <v>60</v>
      </c>
      <c r="B157" s="7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 s="4">
        <v>4.4</v>
      </c>
      <c r="M157" s="4">
        <v>702318.94</v>
      </c>
      <c r="N157" s="4">
        <v>112829.29</v>
      </c>
      <c r="O157">
        <f t="shared" si="7"/>
        <v>1</v>
      </c>
      <c r="P157">
        <f t="shared" si="8"/>
        <v>0</v>
      </c>
      <c r="Q157">
        <f t="shared" si="9"/>
        <v>0</v>
      </c>
    </row>
    <row r="158" spans="1:17">
      <c r="A158" s="4" t="s">
        <v>61</v>
      </c>
      <c r="B158" s="7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0.057</v>
      </c>
      <c r="H158" s="4">
        <v>19</v>
      </c>
      <c r="I158" s="4">
        <v>85.2</v>
      </c>
      <c r="J158" s="4">
        <v>3.08</v>
      </c>
      <c r="K158" s="4">
        <v>0</v>
      </c>
      <c r="L158" s="4">
        <v>3.9</v>
      </c>
      <c r="M158" s="4">
        <v>700078.32</v>
      </c>
      <c r="N158" s="4">
        <v>123707.58</v>
      </c>
      <c r="O158">
        <f t="shared" si="7"/>
        <v>0</v>
      </c>
      <c r="P158">
        <f t="shared" si="8"/>
        <v>1</v>
      </c>
      <c r="Q158">
        <f t="shared" si="9"/>
        <v>0</v>
      </c>
    </row>
    <row r="159" spans="1:17">
      <c r="A159" s="4" t="s">
        <v>61</v>
      </c>
      <c r="B159" s="7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 s="4">
        <v>3</v>
      </c>
      <c r="M159" s="4">
        <v>602002.32</v>
      </c>
      <c r="N159" s="4">
        <v>110453.28</v>
      </c>
      <c r="O159">
        <f t="shared" si="7"/>
        <v>0</v>
      </c>
      <c r="P159">
        <f t="shared" si="8"/>
        <v>1</v>
      </c>
      <c r="Q159">
        <f t="shared" si="9"/>
        <v>0</v>
      </c>
    </row>
    <row r="160" spans="1:17">
      <c r="A160" s="4" t="s">
        <v>61</v>
      </c>
      <c r="B160" s="7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 s="4">
        <v>3.4</v>
      </c>
      <c r="M160" s="4">
        <v>724216.07</v>
      </c>
      <c r="N160" s="4">
        <v>100627.56</v>
      </c>
      <c r="O160">
        <f t="shared" si="7"/>
        <v>0</v>
      </c>
      <c r="P160">
        <f t="shared" si="8"/>
        <v>1</v>
      </c>
      <c r="Q160">
        <f t="shared" si="9"/>
        <v>0</v>
      </c>
    </row>
    <row r="161" spans="1:17">
      <c r="A161" s="4" t="s">
        <v>61</v>
      </c>
      <c r="B161" s="7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 s="4">
        <v>3.3</v>
      </c>
      <c r="M161" s="4">
        <v>620973.03</v>
      </c>
      <c r="N161" s="4">
        <v>72303.85</v>
      </c>
      <c r="O161">
        <f t="shared" si="7"/>
        <v>0</v>
      </c>
      <c r="P161">
        <f t="shared" si="8"/>
        <v>1</v>
      </c>
      <c r="Q161">
        <f t="shared" si="9"/>
        <v>0</v>
      </c>
    </row>
    <row r="162" spans="1:17">
      <c r="A162" s="4" t="s">
        <v>62</v>
      </c>
      <c r="B162" s="7">
        <v>45658</v>
      </c>
      <c r="C162" s="4" t="s">
        <v>24</v>
      </c>
      <c r="D162" s="4" t="s">
        <v>18</v>
      </c>
      <c r="E162" s="4">
        <v>41443.41</v>
      </c>
      <c r="F162" s="4">
        <v>7455</v>
      </c>
      <c r="G162" s="4">
        <v>0.175</v>
      </c>
      <c r="H162" s="4">
        <v>16</v>
      </c>
      <c r="I162" s="4">
        <v>90.1</v>
      </c>
      <c r="J162" s="4">
        <v>4.05</v>
      </c>
      <c r="K162" s="4">
        <v>0</v>
      </c>
      <c r="L162" s="4">
        <v>4</v>
      </c>
      <c r="M162" s="4">
        <v>650480.06</v>
      </c>
      <c r="N162" s="4">
        <v>109012.07</v>
      </c>
      <c r="O162">
        <f t="shared" si="7"/>
        <v>0</v>
      </c>
      <c r="P162">
        <f t="shared" si="8"/>
        <v>0</v>
      </c>
      <c r="Q162">
        <f t="shared" si="9"/>
        <v>1</v>
      </c>
    </row>
    <row r="163" spans="1:17">
      <c r="A163" s="4" t="s">
        <v>62</v>
      </c>
      <c r="B163" s="7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0.034</v>
      </c>
      <c r="H163" s="4">
        <v>20</v>
      </c>
      <c r="I163" s="4">
        <v>91</v>
      </c>
      <c r="J163" s="4">
        <v>4.36</v>
      </c>
      <c r="K163" s="4">
        <v>0</v>
      </c>
      <c r="L163" s="4">
        <v>4.2</v>
      </c>
      <c r="M163" s="4">
        <v>778298.88</v>
      </c>
      <c r="N163" s="4">
        <v>130076.72</v>
      </c>
      <c r="O163">
        <f t="shared" si="7"/>
        <v>0</v>
      </c>
      <c r="P163">
        <f t="shared" si="8"/>
        <v>0</v>
      </c>
      <c r="Q163">
        <f t="shared" si="9"/>
        <v>1</v>
      </c>
    </row>
    <row r="164" spans="1:17">
      <c r="A164" s="4" t="s">
        <v>62</v>
      </c>
      <c r="B164" s="7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72.6</v>
      </c>
      <c r="J164" s="4"/>
      <c r="K164" s="4">
        <v>0</v>
      </c>
      <c r="L164" s="4">
        <v>4.2</v>
      </c>
      <c r="M164" s="4">
        <v>677096.71</v>
      </c>
      <c r="N164" s="4">
        <v>97174.11</v>
      </c>
      <c r="O164">
        <f t="shared" si="7"/>
        <v>0</v>
      </c>
      <c r="P164">
        <f t="shared" si="8"/>
        <v>0</v>
      </c>
      <c r="Q164">
        <f t="shared" si="9"/>
        <v>1</v>
      </c>
    </row>
    <row r="165" spans="1:17">
      <c r="A165" s="4" t="s">
        <v>62</v>
      </c>
      <c r="B165" s="7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0.075</v>
      </c>
      <c r="H165" s="4">
        <v>19</v>
      </c>
      <c r="I165" s="4">
        <v>93.8</v>
      </c>
      <c r="J165" s="4">
        <v>0.54</v>
      </c>
      <c r="K165" s="4">
        <v>0</v>
      </c>
      <c r="L165" s="4">
        <v>4.3</v>
      </c>
      <c r="M165" s="4">
        <v>692008.64</v>
      </c>
      <c r="N165" s="4">
        <v>116337.87</v>
      </c>
      <c r="O165">
        <f t="shared" si="7"/>
        <v>0</v>
      </c>
      <c r="P165">
        <f t="shared" si="8"/>
        <v>0</v>
      </c>
      <c r="Q165">
        <f t="shared" si="9"/>
        <v>1</v>
      </c>
    </row>
    <row r="166" spans="1:17">
      <c r="A166" s="4" t="s">
        <v>63</v>
      </c>
      <c r="B166" s="7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 s="4">
        <v>4.3</v>
      </c>
      <c r="M166" s="4">
        <v>825797.91</v>
      </c>
      <c r="N166" s="4">
        <v>130945.24</v>
      </c>
      <c r="O166">
        <f t="shared" si="7"/>
        <v>0</v>
      </c>
      <c r="P166">
        <f t="shared" si="8"/>
        <v>1</v>
      </c>
      <c r="Q166">
        <f t="shared" si="9"/>
        <v>0</v>
      </c>
    </row>
    <row r="167" spans="1:17">
      <c r="A167" s="4" t="s">
        <v>63</v>
      </c>
      <c r="B167" s="7">
        <v>45689</v>
      </c>
      <c r="C167" s="4" t="s">
        <v>20</v>
      </c>
      <c r="D167" s="4" t="s">
        <v>28</v>
      </c>
      <c r="E167" s="4">
        <v>35303.3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 s="4">
        <v>4.2</v>
      </c>
      <c r="M167" s="4">
        <v>706285.52</v>
      </c>
      <c r="N167" s="4">
        <v>138014.72</v>
      </c>
      <c r="O167">
        <f t="shared" si="7"/>
        <v>0</v>
      </c>
      <c r="P167">
        <f t="shared" si="8"/>
        <v>1</v>
      </c>
      <c r="Q167">
        <f t="shared" si="9"/>
        <v>0</v>
      </c>
    </row>
    <row r="168" spans="1:17">
      <c r="A168" s="4" t="s">
        <v>63</v>
      </c>
      <c r="B168" s="7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 s="4">
        <v>4</v>
      </c>
      <c r="M168" s="4">
        <v>665534.7</v>
      </c>
      <c r="N168" s="4">
        <v>113167.73</v>
      </c>
      <c r="O168">
        <f t="shared" si="7"/>
        <v>0</v>
      </c>
      <c r="P168">
        <f t="shared" si="8"/>
        <v>1</v>
      </c>
      <c r="Q168">
        <f t="shared" si="9"/>
        <v>0</v>
      </c>
    </row>
    <row r="169" spans="1:17">
      <c r="A169" s="4" t="s">
        <v>63</v>
      </c>
      <c r="B169" s="7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 s="4">
        <v>4.1</v>
      </c>
      <c r="M169" s="4">
        <v>820729.29</v>
      </c>
      <c r="N169" s="4">
        <v>159325.47</v>
      </c>
      <c r="O169">
        <f t="shared" si="7"/>
        <v>0</v>
      </c>
      <c r="P169">
        <f t="shared" si="8"/>
        <v>1</v>
      </c>
      <c r="Q169">
        <f t="shared" si="9"/>
        <v>0</v>
      </c>
    </row>
    <row r="170" spans="1:17">
      <c r="A170" s="4" t="s">
        <v>64</v>
      </c>
      <c r="B170" s="7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</v>
      </c>
      <c r="H170" s="4">
        <v>25</v>
      </c>
      <c r="I170" s="4">
        <v>87.1</v>
      </c>
      <c r="J170" s="4">
        <v>12.55</v>
      </c>
      <c r="K170" s="4">
        <v>0</v>
      </c>
      <c r="L170" s="4">
        <v>4.9</v>
      </c>
      <c r="M170" s="4">
        <v>739831.73</v>
      </c>
      <c r="N170" s="4">
        <v>119490.21</v>
      </c>
      <c r="O170">
        <f t="shared" si="7"/>
        <v>1</v>
      </c>
      <c r="P170">
        <f t="shared" si="8"/>
        <v>0</v>
      </c>
      <c r="Q170">
        <f t="shared" si="9"/>
        <v>0</v>
      </c>
    </row>
    <row r="171" spans="1:17">
      <c r="A171" s="4" t="s">
        <v>64</v>
      </c>
      <c r="B171" s="7">
        <v>45689</v>
      </c>
      <c r="C171" s="4" t="s">
        <v>15</v>
      </c>
      <c r="D171" s="4" t="s">
        <v>16</v>
      </c>
      <c r="E171" s="4">
        <v>32834.48</v>
      </c>
      <c r="F171" s="4">
        <v>7576</v>
      </c>
      <c r="G171" s="4">
        <v>0.099</v>
      </c>
      <c r="H171" s="4">
        <v>15</v>
      </c>
      <c r="I171" s="4">
        <v>84.1</v>
      </c>
      <c r="J171" s="4">
        <v>3.48</v>
      </c>
      <c r="K171" s="4">
        <v>0</v>
      </c>
      <c r="L171" s="4">
        <v>5</v>
      </c>
      <c r="M171" s="4">
        <v>593637.14</v>
      </c>
      <c r="N171" s="4">
        <v>106648.14</v>
      </c>
      <c r="O171">
        <f t="shared" si="7"/>
        <v>1</v>
      </c>
      <c r="P171">
        <f t="shared" si="8"/>
        <v>0</v>
      </c>
      <c r="Q171">
        <f t="shared" si="9"/>
        <v>0</v>
      </c>
    </row>
    <row r="172" spans="1:17">
      <c r="A172" s="4" t="s">
        <v>64</v>
      </c>
      <c r="B172" s="7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 s="4">
        <v>4.9</v>
      </c>
      <c r="M172" s="4">
        <v>769702.76</v>
      </c>
      <c r="N172" s="4">
        <v>158697</v>
      </c>
      <c r="O172">
        <f t="shared" si="7"/>
        <v>1</v>
      </c>
      <c r="P172">
        <f t="shared" si="8"/>
        <v>0</v>
      </c>
      <c r="Q172">
        <f t="shared" si="9"/>
        <v>0</v>
      </c>
    </row>
    <row r="173" spans="1:17">
      <c r="A173" s="4" t="s">
        <v>64</v>
      </c>
      <c r="B173" s="7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0.118</v>
      </c>
      <c r="H173" s="4">
        <v>18</v>
      </c>
      <c r="I173" s="4">
        <v>89.8</v>
      </c>
      <c r="J173" s="4">
        <v>0.25</v>
      </c>
      <c r="K173" s="4">
        <v>0</v>
      </c>
      <c r="L173" s="4">
        <v>4.4</v>
      </c>
      <c r="M173" s="4">
        <v>679731.57</v>
      </c>
      <c r="N173" s="4">
        <v>121546.42</v>
      </c>
      <c r="O173">
        <f t="shared" si="7"/>
        <v>1</v>
      </c>
      <c r="P173">
        <f t="shared" si="8"/>
        <v>0</v>
      </c>
      <c r="Q173">
        <f t="shared" si="9"/>
        <v>0</v>
      </c>
    </row>
    <row r="174" spans="1:17">
      <c r="A174" s="4" t="s">
        <v>65</v>
      </c>
      <c r="B174" s="7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 s="4">
        <v>3.3</v>
      </c>
      <c r="M174" s="4">
        <v>780344.18</v>
      </c>
      <c r="N174" s="4">
        <v>118239.09</v>
      </c>
      <c r="O174">
        <f t="shared" si="7"/>
        <v>1</v>
      </c>
      <c r="P174">
        <f t="shared" si="8"/>
        <v>0</v>
      </c>
      <c r="Q174">
        <f t="shared" si="9"/>
        <v>0</v>
      </c>
    </row>
    <row r="175" spans="1:17">
      <c r="A175" s="4" t="s">
        <v>65</v>
      </c>
      <c r="B175" s="7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 s="4">
        <v>3.1</v>
      </c>
      <c r="M175" s="4">
        <v>721364.11</v>
      </c>
      <c r="N175" s="4">
        <v>147272.81</v>
      </c>
      <c r="O175">
        <f t="shared" si="7"/>
        <v>1</v>
      </c>
      <c r="P175">
        <f t="shared" si="8"/>
        <v>0</v>
      </c>
      <c r="Q175">
        <f t="shared" si="9"/>
        <v>0</v>
      </c>
    </row>
    <row r="176" spans="1:17">
      <c r="A176" s="4" t="s">
        <v>65</v>
      </c>
      <c r="B176" s="7">
        <v>45717</v>
      </c>
      <c r="C176" s="4" t="s">
        <v>15</v>
      </c>
      <c r="D176" s="4" t="s">
        <v>16</v>
      </c>
      <c r="E176" s="4">
        <v>68040.15</v>
      </c>
      <c r="F176" s="4">
        <v>9826</v>
      </c>
      <c r="G176" s="4">
        <v>0.125</v>
      </c>
      <c r="H176" s="4">
        <v>20</v>
      </c>
      <c r="I176" s="4">
        <v>83.9</v>
      </c>
      <c r="J176" s="4">
        <v>9.12</v>
      </c>
      <c r="K176" s="4">
        <v>0</v>
      </c>
      <c r="L176" s="4">
        <v>3.6</v>
      </c>
      <c r="M176" s="4">
        <v>758138.29</v>
      </c>
      <c r="N176" s="4">
        <v>132975.26</v>
      </c>
      <c r="O176">
        <f t="shared" si="7"/>
        <v>1</v>
      </c>
      <c r="P176">
        <f t="shared" si="8"/>
        <v>0</v>
      </c>
      <c r="Q176">
        <f t="shared" si="9"/>
        <v>0</v>
      </c>
    </row>
    <row r="177" spans="1:17">
      <c r="A177" s="4" t="s">
        <v>65</v>
      </c>
      <c r="B177" s="7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 s="4">
        <v>3.1</v>
      </c>
      <c r="M177" s="4">
        <v>804264</v>
      </c>
      <c r="N177" s="4">
        <v>167117.91</v>
      </c>
      <c r="O177">
        <f t="shared" si="7"/>
        <v>1</v>
      </c>
      <c r="P177">
        <f t="shared" si="8"/>
        <v>0</v>
      </c>
      <c r="Q177">
        <f t="shared" si="9"/>
        <v>0</v>
      </c>
    </row>
    <row r="178" spans="1:17">
      <c r="A178" s="4" t="s">
        <v>66</v>
      </c>
      <c r="B178" s="7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0.046</v>
      </c>
      <c r="H178" s="4">
        <v>24</v>
      </c>
      <c r="I178" s="4">
        <v>76.6</v>
      </c>
      <c r="J178" s="4">
        <v>3.65</v>
      </c>
      <c r="K178" s="4">
        <v>1</v>
      </c>
      <c r="L178" s="4">
        <v>3.7</v>
      </c>
      <c r="M178" s="4">
        <v>887537.75</v>
      </c>
      <c r="N178" s="4">
        <v>160362.92</v>
      </c>
      <c r="O178">
        <f t="shared" si="7"/>
        <v>0</v>
      </c>
      <c r="P178">
        <f t="shared" si="8"/>
        <v>0</v>
      </c>
      <c r="Q178">
        <f t="shared" si="9"/>
        <v>0</v>
      </c>
    </row>
    <row r="179" spans="1:17">
      <c r="A179" s="4" t="s">
        <v>66</v>
      </c>
      <c r="B179" s="7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0.177</v>
      </c>
      <c r="H179" s="4">
        <v>21</v>
      </c>
      <c r="I179" s="4">
        <v>90.9</v>
      </c>
      <c r="J179" s="4">
        <v>7.86</v>
      </c>
      <c r="K179" s="4">
        <v>0</v>
      </c>
      <c r="L179" s="4">
        <v>4</v>
      </c>
      <c r="M179" s="4">
        <v>783582</v>
      </c>
      <c r="N179" s="4">
        <v>130670.93</v>
      </c>
      <c r="O179">
        <f t="shared" si="7"/>
        <v>0</v>
      </c>
      <c r="P179">
        <f t="shared" si="8"/>
        <v>0</v>
      </c>
      <c r="Q179">
        <f t="shared" si="9"/>
        <v>0</v>
      </c>
    </row>
    <row r="180" spans="1:17">
      <c r="A180" s="4" t="s">
        <v>66</v>
      </c>
      <c r="B180" s="7">
        <v>45717</v>
      </c>
      <c r="C180" s="4" t="s">
        <v>27</v>
      </c>
      <c r="D180" s="4" t="s">
        <v>21</v>
      </c>
      <c r="E180" s="4">
        <v>40535.09</v>
      </c>
      <c r="F180" s="4">
        <v>8870</v>
      </c>
      <c r="G180" s="4">
        <v>0.041</v>
      </c>
      <c r="H180" s="4">
        <v>21</v>
      </c>
      <c r="I180" s="4">
        <v>86.6</v>
      </c>
      <c r="J180" s="4">
        <v>0.3</v>
      </c>
      <c r="K180" s="4">
        <v>0</v>
      </c>
      <c r="L180" s="4">
        <v>4.1</v>
      </c>
      <c r="M180" s="4">
        <v>781955.52</v>
      </c>
      <c r="N180" s="4">
        <v>152578.71</v>
      </c>
      <c r="O180">
        <f t="shared" si="7"/>
        <v>0</v>
      </c>
      <c r="P180">
        <f t="shared" si="8"/>
        <v>0</v>
      </c>
      <c r="Q180">
        <f t="shared" si="9"/>
        <v>0</v>
      </c>
    </row>
    <row r="181" spans="1:17">
      <c r="A181" s="4" t="s">
        <v>66</v>
      </c>
      <c r="B181" s="7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0.013</v>
      </c>
      <c r="H181" s="4">
        <v>20</v>
      </c>
      <c r="I181" s="4">
        <v>89.6</v>
      </c>
      <c r="J181" s="4">
        <v>8.44</v>
      </c>
      <c r="K181" s="4">
        <v>0</v>
      </c>
      <c r="L181" s="4">
        <v>4.1</v>
      </c>
      <c r="M181" s="4">
        <v>898031.04</v>
      </c>
      <c r="N181" s="4">
        <v>138666.5</v>
      </c>
      <c r="O181">
        <f t="shared" si="7"/>
        <v>0</v>
      </c>
      <c r="P181">
        <f t="shared" si="8"/>
        <v>0</v>
      </c>
      <c r="Q181">
        <f t="shared" si="9"/>
        <v>0</v>
      </c>
    </row>
    <row r="182" spans="1:17">
      <c r="A182" s="4" t="s">
        <v>67</v>
      </c>
      <c r="B182" s="7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0.001</v>
      </c>
      <c r="H182" s="4">
        <v>24</v>
      </c>
      <c r="I182" s="4">
        <v>89.4</v>
      </c>
      <c r="J182" s="4">
        <v>5.27</v>
      </c>
      <c r="K182" s="4">
        <v>1</v>
      </c>
      <c r="L182" s="4">
        <v>3.9</v>
      </c>
      <c r="M182" s="4">
        <v>855341.28</v>
      </c>
      <c r="N182" s="4">
        <v>175823.8</v>
      </c>
      <c r="O182">
        <f t="shared" si="7"/>
        <v>0</v>
      </c>
      <c r="P182">
        <f t="shared" si="8"/>
        <v>0</v>
      </c>
      <c r="Q182">
        <f t="shared" si="9"/>
        <v>0</v>
      </c>
    </row>
    <row r="183" spans="1:17">
      <c r="A183" s="4" t="s">
        <v>67</v>
      </c>
      <c r="B183" s="7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0.141</v>
      </c>
      <c r="H183" s="4">
        <v>22</v>
      </c>
      <c r="I183" s="4">
        <v>86.4</v>
      </c>
      <c r="J183" s="4">
        <v>13.22</v>
      </c>
      <c r="K183" s="4">
        <v>0</v>
      </c>
      <c r="L183" s="4">
        <v>3.6</v>
      </c>
      <c r="M183" s="4">
        <v>751393.88</v>
      </c>
      <c r="N183" s="4">
        <v>91480.32</v>
      </c>
      <c r="O183">
        <f t="shared" si="7"/>
        <v>0</v>
      </c>
      <c r="P183">
        <f t="shared" si="8"/>
        <v>0</v>
      </c>
      <c r="Q183">
        <f t="shared" si="9"/>
        <v>0</v>
      </c>
    </row>
    <row r="184" spans="1:17">
      <c r="A184" s="4" t="s">
        <v>67</v>
      </c>
      <c r="B184" s="7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 s="4">
        <v>3.8</v>
      </c>
      <c r="M184" s="4">
        <v>761077.08</v>
      </c>
      <c r="N184" s="4">
        <v>113605.93</v>
      </c>
      <c r="O184">
        <f t="shared" si="7"/>
        <v>0</v>
      </c>
      <c r="P184">
        <f t="shared" si="8"/>
        <v>0</v>
      </c>
      <c r="Q184">
        <f t="shared" si="9"/>
        <v>0</v>
      </c>
    </row>
    <row r="185" spans="1:17">
      <c r="A185" s="4" t="s">
        <v>67</v>
      </c>
      <c r="B185" s="7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0.07</v>
      </c>
      <c r="H185" s="4">
        <v>25</v>
      </c>
      <c r="I185" s="4">
        <v>90.1</v>
      </c>
      <c r="J185" s="4">
        <v>4.03</v>
      </c>
      <c r="K185" s="4">
        <v>0</v>
      </c>
      <c r="L185" s="4">
        <v>3.1</v>
      </c>
      <c r="M185" s="4">
        <v>819660.59</v>
      </c>
      <c r="N185" s="4">
        <v>172699.95</v>
      </c>
      <c r="O185">
        <f t="shared" si="7"/>
        <v>0</v>
      </c>
      <c r="P185">
        <f t="shared" si="8"/>
        <v>0</v>
      </c>
      <c r="Q185">
        <f t="shared" si="9"/>
        <v>0</v>
      </c>
    </row>
    <row r="186" spans="1:17">
      <c r="A186" s="4" t="s">
        <v>68</v>
      </c>
      <c r="B186" s="7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0.072</v>
      </c>
      <c r="H186" s="4">
        <v>13</v>
      </c>
      <c r="I186" s="4">
        <v>93.7</v>
      </c>
      <c r="J186" s="4">
        <v>2.34</v>
      </c>
      <c r="K186" s="4">
        <v>0</v>
      </c>
      <c r="L186" s="4">
        <v>4.4</v>
      </c>
      <c r="M186" s="4">
        <v>681855.56</v>
      </c>
      <c r="N186" s="4">
        <v>117645.61</v>
      </c>
      <c r="O186">
        <f t="shared" si="7"/>
        <v>0</v>
      </c>
      <c r="P186">
        <f t="shared" si="8"/>
        <v>1</v>
      </c>
      <c r="Q186">
        <f t="shared" si="9"/>
        <v>0</v>
      </c>
    </row>
    <row r="187" spans="1:17">
      <c r="A187" s="4" t="s">
        <v>68</v>
      </c>
      <c r="B187" s="7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 s="4">
        <v>4.4</v>
      </c>
      <c r="M187" s="4">
        <v>678311.17</v>
      </c>
      <c r="N187" s="4">
        <v>132029.76</v>
      </c>
      <c r="O187">
        <f t="shared" si="7"/>
        <v>0</v>
      </c>
      <c r="P187">
        <f t="shared" si="8"/>
        <v>1</v>
      </c>
      <c r="Q187">
        <f t="shared" si="9"/>
        <v>0</v>
      </c>
    </row>
    <row r="188" spans="1:17">
      <c r="A188" s="4" t="s">
        <v>68</v>
      </c>
      <c r="B188" s="7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0.067</v>
      </c>
      <c r="H188" s="4">
        <v>14</v>
      </c>
      <c r="I188" s="4">
        <v>99</v>
      </c>
      <c r="J188" s="4">
        <v>0.48</v>
      </c>
      <c r="K188" s="4">
        <v>1</v>
      </c>
      <c r="L188" s="4">
        <v>4.3</v>
      </c>
      <c r="M188" s="4">
        <v>765906.95</v>
      </c>
      <c r="N188" s="4">
        <v>114005.9</v>
      </c>
      <c r="O188">
        <f t="shared" si="7"/>
        <v>0</v>
      </c>
      <c r="P188">
        <f t="shared" si="8"/>
        <v>1</v>
      </c>
      <c r="Q188">
        <f t="shared" si="9"/>
        <v>0</v>
      </c>
    </row>
    <row r="189" spans="1:17">
      <c r="A189" s="4" t="s">
        <v>68</v>
      </c>
      <c r="B189" s="7">
        <v>45748</v>
      </c>
      <c r="C189" s="4" t="s">
        <v>20</v>
      </c>
      <c r="D189" s="4" t="s">
        <v>18</v>
      </c>
      <c r="E189" s="4">
        <v>72784.8</v>
      </c>
      <c r="F189" s="4">
        <v>7932</v>
      </c>
      <c r="G189" s="4">
        <v>0.094</v>
      </c>
      <c r="H189" s="4">
        <v>20</v>
      </c>
      <c r="I189" s="4">
        <v>74.9</v>
      </c>
      <c r="J189" s="4">
        <v>13.62</v>
      </c>
      <c r="K189" s="4">
        <v>0</v>
      </c>
      <c r="L189" s="4">
        <v>4.2</v>
      </c>
      <c r="M189" s="4">
        <v>712546.38</v>
      </c>
      <c r="N189" s="4">
        <v>101480.04</v>
      </c>
      <c r="O189">
        <f t="shared" si="7"/>
        <v>0</v>
      </c>
      <c r="P189">
        <f t="shared" si="8"/>
        <v>1</v>
      </c>
      <c r="Q189">
        <f t="shared" si="9"/>
        <v>0</v>
      </c>
    </row>
    <row r="190" spans="1:17">
      <c r="A190" s="4" t="s">
        <v>69</v>
      </c>
      <c r="B190" s="7">
        <v>45658</v>
      </c>
      <c r="C190" s="4" t="s">
        <v>15</v>
      </c>
      <c r="D190" s="4" t="s">
        <v>18</v>
      </c>
      <c r="E190" s="4">
        <v>71641.9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 s="4">
        <v>4.1</v>
      </c>
      <c r="M190" s="4">
        <v>625993.83</v>
      </c>
      <c r="N190" s="4">
        <v>98960.32</v>
      </c>
      <c r="O190">
        <f t="shared" si="7"/>
        <v>1</v>
      </c>
      <c r="P190">
        <f t="shared" si="8"/>
        <v>0</v>
      </c>
      <c r="Q190">
        <f t="shared" si="9"/>
        <v>0</v>
      </c>
    </row>
    <row r="191" spans="1:17">
      <c r="A191" s="4" t="s">
        <v>69</v>
      </c>
      <c r="B191" s="7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0.058</v>
      </c>
      <c r="H191" s="4">
        <v>10</v>
      </c>
      <c r="I191" s="4">
        <v>91.3</v>
      </c>
      <c r="J191" s="4">
        <v>1.99</v>
      </c>
      <c r="K191" s="4">
        <v>0</v>
      </c>
      <c r="L191" s="4">
        <v>3.8</v>
      </c>
      <c r="M191" s="4">
        <v>550962.93</v>
      </c>
      <c r="N191" s="4">
        <v>97144.58</v>
      </c>
      <c r="O191">
        <f t="shared" si="7"/>
        <v>1</v>
      </c>
      <c r="P191">
        <f t="shared" si="8"/>
        <v>0</v>
      </c>
      <c r="Q191">
        <f t="shared" si="9"/>
        <v>0</v>
      </c>
    </row>
    <row r="192" spans="1:17">
      <c r="A192" s="4" t="s">
        <v>69</v>
      </c>
      <c r="B192" s="7">
        <v>45717</v>
      </c>
      <c r="C192" s="4" t="s">
        <v>15</v>
      </c>
      <c r="D192" s="4" t="s">
        <v>18</v>
      </c>
      <c r="E192" s="4">
        <v>37705.88</v>
      </c>
      <c r="F192" s="4">
        <v>1268</v>
      </c>
      <c r="G192" s="4">
        <v>0.259</v>
      </c>
      <c r="H192" s="4">
        <v>9</v>
      </c>
      <c r="I192" s="4">
        <v>84.1</v>
      </c>
      <c r="J192" s="4">
        <v>4.77</v>
      </c>
      <c r="K192" s="4">
        <v>0</v>
      </c>
      <c r="L192" s="4">
        <v>3.8</v>
      </c>
      <c r="M192" s="4">
        <v>443275.59</v>
      </c>
      <c r="N192" s="4">
        <v>53544.36</v>
      </c>
      <c r="O192">
        <f t="shared" si="7"/>
        <v>1</v>
      </c>
      <c r="P192">
        <f t="shared" si="8"/>
        <v>0</v>
      </c>
      <c r="Q192">
        <f t="shared" si="9"/>
        <v>0</v>
      </c>
    </row>
    <row r="193" spans="1:17">
      <c r="A193" s="4" t="s">
        <v>69</v>
      </c>
      <c r="B193" s="7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 s="4">
        <v>4.4</v>
      </c>
      <c r="M193" s="4">
        <v>554012.07</v>
      </c>
      <c r="N193" s="4">
        <v>81101.62</v>
      </c>
      <c r="O193">
        <f t="shared" si="7"/>
        <v>1</v>
      </c>
      <c r="P193">
        <f t="shared" si="8"/>
        <v>0</v>
      </c>
      <c r="Q193">
        <f t="shared" si="9"/>
        <v>0</v>
      </c>
    </row>
    <row r="194" spans="1:17">
      <c r="A194" s="4" t="s">
        <v>70</v>
      </c>
      <c r="B194" s="7">
        <v>45658</v>
      </c>
      <c r="C194" s="4" t="s">
        <v>27</v>
      </c>
      <c r="D194" s="4" t="s">
        <v>16</v>
      </c>
      <c r="E194" s="4">
        <v>81796.74</v>
      </c>
      <c r="F194" s="4">
        <v>6177</v>
      </c>
      <c r="G194" s="4">
        <v>0.164</v>
      </c>
      <c r="H194" s="4">
        <v>14</v>
      </c>
      <c r="I194" s="4">
        <v>87.9</v>
      </c>
      <c r="J194" s="4">
        <v>0.53</v>
      </c>
      <c r="K194" s="4">
        <v>0</v>
      </c>
      <c r="L194" s="4">
        <v>3.2</v>
      </c>
      <c r="M194" s="4">
        <v>643428.85</v>
      </c>
      <c r="N194" s="4">
        <v>94477.63</v>
      </c>
      <c r="O194">
        <f t="shared" si="7"/>
        <v>0</v>
      </c>
      <c r="P194">
        <f t="shared" si="8"/>
        <v>0</v>
      </c>
      <c r="Q194">
        <f t="shared" si="9"/>
        <v>0</v>
      </c>
    </row>
    <row r="195" spans="1:17">
      <c r="A195" s="4" t="s">
        <v>70</v>
      </c>
      <c r="B195" s="7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 s="4">
        <v>3.2</v>
      </c>
      <c r="M195" s="4">
        <v>611924.27</v>
      </c>
      <c r="N195" s="4">
        <v>115488.75</v>
      </c>
      <c r="O195">
        <f t="shared" ref="O195:O258" si="10">IF(C195="East",1,0)</f>
        <v>0</v>
      </c>
      <c r="P195">
        <f t="shared" ref="P195:P258" si="11">IF(C195="North",1,0)</f>
        <v>0</v>
      </c>
      <c r="Q195">
        <f t="shared" si="9"/>
        <v>0</v>
      </c>
    </row>
    <row r="196" spans="1:17">
      <c r="A196" s="4" t="s">
        <v>70</v>
      </c>
      <c r="B196" s="7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0.089</v>
      </c>
      <c r="H196" s="4">
        <v>14</v>
      </c>
      <c r="I196" s="4">
        <v>86.6</v>
      </c>
      <c r="J196" s="4">
        <v>3.63</v>
      </c>
      <c r="K196" s="4">
        <v>0</v>
      </c>
      <c r="L196" s="4">
        <v>3.7</v>
      </c>
      <c r="M196" s="4">
        <v>559422.02</v>
      </c>
      <c r="N196" s="4">
        <v>73528.74</v>
      </c>
      <c r="O196">
        <f t="shared" si="10"/>
        <v>0</v>
      </c>
      <c r="P196">
        <f t="shared" si="11"/>
        <v>0</v>
      </c>
      <c r="Q196">
        <f t="shared" si="9"/>
        <v>0</v>
      </c>
    </row>
    <row r="197" spans="1:17">
      <c r="A197" s="4" t="s">
        <v>70</v>
      </c>
      <c r="B197" s="7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</v>
      </c>
      <c r="H197" s="4">
        <v>7</v>
      </c>
      <c r="I197" s="4">
        <v>85.4</v>
      </c>
      <c r="J197" s="4">
        <v>13.48</v>
      </c>
      <c r="K197" s="4">
        <v>0</v>
      </c>
      <c r="L197" s="4"/>
      <c r="M197" s="4">
        <v>449465.06</v>
      </c>
      <c r="N197" s="4">
        <v>65694.78</v>
      </c>
      <c r="O197">
        <f t="shared" si="10"/>
        <v>0</v>
      </c>
      <c r="P197">
        <f t="shared" si="11"/>
        <v>0</v>
      </c>
      <c r="Q197">
        <f t="shared" si="9"/>
        <v>0</v>
      </c>
    </row>
    <row r="198" spans="1:17">
      <c r="A198" s="4" t="s">
        <v>71</v>
      </c>
      <c r="B198" s="7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0.098</v>
      </c>
      <c r="H198" s="4">
        <v>11</v>
      </c>
      <c r="I198" s="4">
        <v>89.6</v>
      </c>
      <c r="J198" s="4">
        <v>0.2</v>
      </c>
      <c r="K198" s="4">
        <v>0</v>
      </c>
      <c r="L198" s="4">
        <v>4.2</v>
      </c>
      <c r="M198" s="4">
        <v>691447.43</v>
      </c>
      <c r="N198" s="4">
        <v>114077.69</v>
      </c>
      <c r="O198">
        <f t="shared" si="10"/>
        <v>0</v>
      </c>
      <c r="P198">
        <f t="shared" si="11"/>
        <v>1</v>
      </c>
      <c r="Q198">
        <f t="shared" si="9"/>
        <v>0</v>
      </c>
    </row>
    <row r="199" spans="1:17">
      <c r="A199" s="4" t="s">
        <v>71</v>
      </c>
      <c r="B199" s="7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0.027</v>
      </c>
      <c r="H199" s="4">
        <v>15</v>
      </c>
      <c r="I199" s="4">
        <v>90.6</v>
      </c>
      <c r="J199" s="4">
        <v>12.82</v>
      </c>
      <c r="K199" s="4">
        <v>0</v>
      </c>
      <c r="L199" s="4">
        <v>4.6</v>
      </c>
      <c r="M199" s="4">
        <v>574066.61</v>
      </c>
      <c r="N199" s="4">
        <v>124674.67</v>
      </c>
      <c r="O199">
        <f t="shared" si="10"/>
        <v>0</v>
      </c>
      <c r="P199">
        <f t="shared" si="11"/>
        <v>1</v>
      </c>
      <c r="Q199">
        <f t="shared" si="9"/>
        <v>0</v>
      </c>
    </row>
    <row r="200" spans="1:17">
      <c r="A200" s="4" t="s">
        <v>71</v>
      </c>
      <c r="B200" s="7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0.284</v>
      </c>
      <c r="H200" s="4">
        <v>13</v>
      </c>
      <c r="I200" s="4">
        <v>86</v>
      </c>
      <c r="J200" s="4">
        <v>2.24</v>
      </c>
      <c r="K200" s="4">
        <v>1</v>
      </c>
      <c r="L200" s="4">
        <v>4.3</v>
      </c>
      <c r="M200" s="4">
        <v>578949.84</v>
      </c>
      <c r="N200" s="4">
        <v>80253.65</v>
      </c>
      <c r="O200">
        <f t="shared" si="10"/>
        <v>0</v>
      </c>
      <c r="P200">
        <f t="shared" si="11"/>
        <v>1</v>
      </c>
      <c r="Q200">
        <f t="shared" si="9"/>
        <v>0</v>
      </c>
    </row>
    <row r="201" spans="1:17">
      <c r="A201" s="4" t="s">
        <v>71</v>
      </c>
      <c r="B201" s="7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 s="4">
        <v>4.8</v>
      </c>
      <c r="M201" s="4">
        <v>735786.64</v>
      </c>
      <c r="N201" s="4">
        <v>126540.66</v>
      </c>
      <c r="O201">
        <f t="shared" si="10"/>
        <v>0</v>
      </c>
      <c r="P201">
        <f t="shared" si="11"/>
        <v>1</v>
      </c>
      <c r="Q201">
        <f t="shared" si="9"/>
        <v>0</v>
      </c>
    </row>
    <row r="202" spans="1:17">
      <c r="A202" s="4" t="s">
        <v>72</v>
      </c>
      <c r="B202" s="7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 s="4">
        <v>4.6</v>
      </c>
      <c r="M202" s="4">
        <v>598904.9</v>
      </c>
      <c r="N202" s="4">
        <v>72861</v>
      </c>
      <c r="O202">
        <f t="shared" si="10"/>
        <v>1</v>
      </c>
      <c r="P202">
        <f t="shared" si="11"/>
        <v>0</v>
      </c>
      <c r="Q202">
        <f t="shared" si="9"/>
        <v>0</v>
      </c>
    </row>
    <row r="203" spans="1:17">
      <c r="A203" s="4" t="s">
        <v>72</v>
      </c>
      <c r="B203" s="7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 s="4">
        <v>4.8</v>
      </c>
      <c r="M203" s="4">
        <v>787715.51</v>
      </c>
      <c r="N203" s="4">
        <v>128969.62</v>
      </c>
      <c r="O203">
        <f t="shared" si="10"/>
        <v>1</v>
      </c>
      <c r="P203">
        <f t="shared" si="11"/>
        <v>0</v>
      </c>
      <c r="Q203">
        <f t="shared" si="9"/>
        <v>0</v>
      </c>
    </row>
    <row r="204" spans="1:17">
      <c r="A204" s="4" t="s">
        <v>72</v>
      </c>
      <c r="B204" s="7">
        <v>45717</v>
      </c>
      <c r="C204" s="4" t="s">
        <v>15</v>
      </c>
      <c r="D204" s="4" t="s">
        <v>21</v>
      </c>
      <c r="E204" s="4">
        <v>35203.23</v>
      </c>
      <c r="F204" s="4">
        <v>6896</v>
      </c>
      <c r="G204" s="4">
        <v>0.032</v>
      </c>
      <c r="H204" s="4">
        <v>14</v>
      </c>
      <c r="I204" s="4">
        <v>80.8</v>
      </c>
      <c r="J204" s="4">
        <v>8.44</v>
      </c>
      <c r="K204" s="4">
        <v>1</v>
      </c>
      <c r="L204" s="4">
        <v>5</v>
      </c>
      <c r="M204" s="4">
        <v>607084.92</v>
      </c>
      <c r="N204" s="4">
        <v>98558.49</v>
      </c>
      <c r="O204">
        <f t="shared" si="10"/>
        <v>1</v>
      </c>
      <c r="P204">
        <f t="shared" si="11"/>
        <v>0</v>
      </c>
      <c r="Q204">
        <f t="shared" si="9"/>
        <v>0</v>
      </c>
    </row>
    <row r="205" spans="1:17">
      <c r="A205" s="4" t="s">
        <v>72</v>
      </c>
      <c r="B205" s="7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 s="4">
        <v>4</v>
      </c>
      <c r="M205" s="4">
        <v>650795.49</v>
      </c>
      <c r="N205" s="4">
        <v>103035.89</v>
      </c>
      <c r="O205">
        <f t="shared" si="10"/>
        <v>1</v>
      </c>
      <c r="P205">
        <f t="shared" si="11"/>
        <v>0</v>
      </c>
      <c r="Q205">
        <f t="shared" si="9"/>
        <v>0</v>
      </c>
    </row>
    <row r="206" spans="1:17">
      <c r="A206" s="4" t="s">
        <v>73</v>
      </c>
      <c r="B206" s="7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0.07</v>
      </c>
      <c r="H206" s="4">
        <v>24</v>
      </c>
      <c r="I206" s="4">
        <v>94.3</v>
      </c>
      <c r="J206" s="4">
        <v>0.87</v>
      </c>
      <c r="K206" s="4">
        <v>0</v>
      </c>
      <c r="L206" s="4">
        <v>3.7</v>
      </c>
      <c r="M206" s="4">
        <v>825060.52</v>
      </c>
      <c r="N206" s="4">
        <v>143613.15</v>
      </c>
      <c r="O206">
        <f t="shared" si="10"/>
        <v>1</v>
      </c>
      <c r="P206">
        <f t="shared" si="11"/>
        <v>0</v>
      </c>
      <c r="Q206">
        <f t="shared" si="9"/>
        <v>0</v>
      </c>
    </row>
    <row r="207" spans="1:17">
      <c r="A207" s="4" t="s">
        <v>73</v>
      </c>
      <c r="B207" s="7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 s="4">
        <v>3.7</v>
      </c>
      <c r="M207" s="4">
        <v>795464.47</v>
      </c>
      <c r="N207" s="4">
        <v>161150.52</v>
      </c>
      <c r="O207">
        <f t="shared" si="10"/>
        <v>1</v>
      </c>
      <c r="P207">
        <f t="shared" si="11"/>
        <v>0</v>
      </c>
      <c r="Q207">
        <f t="shared" si="9"/>
        <v>0</v>
      </c>
    </row>
    <row r="208" spans="1:17">
      <c r="A208" s="4" t="s">
        <v>73</v>
      </c>
      <c r="B208" s="7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0.149</v>
      </c>
      <c r="H208" s="4">
        <v>19</v>
      </c>
      <c r="I208" s="4">
        <v>83.2</v>
      </c>
      <c r="J208" s="4">
        <v>3.82</v>
      </c>
      <c r="K208" s="4">
        <v>0</v>
      </c>
      <c r="L208" s="4">
        <v>3.7</v>
      </c>
      <c r="M208" s="4">
        <v>671868.59</v>
      </c>
      <c r="N208" s="4">
        <v>71003.28</v>
      </c>
      <c r="O208">
        <f t="shared" si="10"/>
        <v>1</v>
      </c>
      <c r="P208">
        <f t="shared" si="11"/>
        <v>0</v>
      </c>
      <c r="Q208">
        <f t="shared" si="9"/>
        <v>0</v>
      </c>
    </row>
    <row r="209" spans="1:17">
      <c r="A209" s="4" t="s">
        <v>73</v>
      </c>
      <c r="B209" s="7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</v>
      </c>
      <c r="H209" s="4">
        <v>18</v>
      </c>
      <c r="I209" s="4">
        <v>93.6</v>
      </c>
      <c r="J209" s="4">
        <v>2.7</v>
      </c>
      <c r="K209" s="4">
        <v>0</v>
      </c>
      <c r="L209" s="4">
        <v>3.7</v>
      </c>
      <c r="M209" s="4">
        <v>675917.63</v>
      </c>
      <c r="N209" s="4">
        <v>112564.75</v>
      </c>
      <c r="O209">
        <f t="shared" si="10"/>
        <v>1</v>
      </c>
      <c r="P209">
        <f t="shared" si="11"/>
        <v>0</v>
      </c>
      <c r="Q209">
        <f t="shared" si="9"/>
        <v>0</v>
      </c>
    </row>
    <row r="210" spans="1:17">
      <c r="A210" s="4" t="s">
        <v>74</v>
      </c>
      <c r="B210" s="7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0.097</v>
      </c>
      <c r="H210" s="4">
        <v>24</v>
      </c>
      <c r="I210" s="4">
        <v>87</v>
      </c>
      <c r="J210" s="4">
        <v>3.84</v>
      </c>
      <c r="K210" s="4">
        <v>1</v>
      </c>
      <c r="L210" s="4">
        <v>3.7</v>
      </c>
      <c r="M210" s="4">
        <v>810446.53</v>
      </c>
      <c r="N210" s="4">
        <v>200575.34</v>
      </c>
      <c r="O210">
        <f t="shared" si="10"/>
        <v>1</v>
      </c>
      <c r="P210">
        <f t="shared" si="11"/>
        <v>0</v>
      </c>
      <c r="Q210">
        <f t="shared" si="9"/>
        <v>0</v>
      </c>
    </row>
    <row r="211" spans="1:17">
      <c r="A211" s="4" t="s">
        <v>74</v>
      </c>
      <c r="B211" s="7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</v>
      </c>
      <c r="H211" s="4">
        <v>19</v>
      </c>
      <c r="I211" s="4">
        <v>84.9</v>
      </c>
      <c r="J211" s="4">
        <v>5.09</v>
      </c>
      <c r="K211" s="4">
        <v>0</v>
      </c>
      <c r="L211" s="4">
        <v>3.3</v>
      </c>
      <c r="M211" s="4">
        <v>691288.19</v>
      </c>
      <c r="N211" s="4">
        <v>159074.14</v>
      </c>
      <c r="O211">
        <f t="shared" si="10"/>
        <v>1</v>
      </c>
      <c r="P211">
        <f t="shared" si="11"/>
        <v>0</v>
      </c>
      <c r="Q211">
        <f t="shared" si="9"/>
        <v>0</v>
      </c>
    </row>
    <row r="212" spans="1:17">
      <c r="A212" s="4" t="s">
        <v>74</v>
      </c>
      <c r="B212" s="7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0.029</v>
      </c>
      <c r="H212" s="4">
        <v>31</v>
      </c>
      <c r="I212" s="4">
        <v>91.7</v>
      </c>
      <c r="J212" s="4">
        <v>3.82</v>
      </c>
      <c r="K212" s="4">
        <v>1</v>
      </c>
      <c r="L212" s="4">
        <v>3.7</v>
      </c>
      <c r="M212" s="4">
        <v>946833.54</v>
      </c>
      <c r="N212" s="4">
        <v>184540.31</v>
      </c>
      <c r="O212">
        <f t="shared" si="10"/>
        <v>1</v>
      </c>
      <c r="P212">
        <f t="shared" si="11"/>
        <v>0</v>
      </c>
      <c r="Q212">
        <f t="shared" si="9"/>
        <v>0</v>
      </c>
    </row>
    <row r="213" spans="1:17">
      <c r="A213" s="4" t="s">
        <v>74</v>
      </c>
      <c r="B213" s="7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0.093</v>
      </c>
      <c r="H213" s="4">
        <v>21</v>
      </c>
      <c r="I213" s="4">
        <v>87</v>
      </c>
      <c r="J213" s="4">
        <v>12.28</v>
      </c>
      <c r="K213" s="4">
        <v>0</v>
      </c>
      <c r="L213" s="4">
        <v>4.1</v>
      </c>
      <c r="M213" s="4">
        <v>761963.23</v>
      </c>
      <c r="N213" s="4">
        <v>150113.61</v>
      </c>
      <c r="O213">
        <f t="shared" si="10"/>
        <v>1</v>
      </c>
      <c r="P213">
        <f t="shared" si="11"/>
        <v>0</v>
      </c>
      <c r="Q213">
        <f t="shared" si="9"/>
        <v>0</v>
      </c>
    </row>
    <row r="214" spans="1:17">
      <c r="A214" s="4" t="s">
        <v>75</v>
      </c>
      <c r="B214" s="7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0.091</v>
      </c>
      <c r="H214" s="4">
        <v>25</v>
      </c>
      <c r="I214" s="4">
        <v>89.7</v>
      </c>
      <c r="J214" s="4">
        <v>2.8</v>
      </c>
      <c r="K214" s="4">
        <v>0</v>
      </c>
      <c r="L214" s="4">
        <v>4.3</v>
      </c>
      <c r="M214" s="4">
        <v>812152.6</v>
      </c>
      <c r="N214" s="4">
        <v>138419.43</v>
      </c>
      <c r="O214">
        <f t="shared" si="10"/>
        <v>0</v>
      </c>
      <c r="P214">
        <f t="shared" si="11"/>
        <v>0</v>
      </c>
      <c r="Q214">
        <f t="shared" ref="Q214:Q277" si="12">IF(C214="South",1,0)</f>
        <v>0</v>
      </c>
    </row>
    <row r="215" spans="1:17">
      <c r="A215" s="4" t="s">
        <v>75</v>
      </c>
      <c r="B215" s="7">
        <v>45689</v>
      </c>
      <c r="C215" s="4" t="s">
        <v>27</v>
      </c>
      <c r="D215" s="4" t="s">
        <v>16</v>
      </c>
      <c r="E215" s="4">
        <v>41819.45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 s="4">
        <v>4.2</v>
      </c>
      <c r="M215" s="4">
        <v>804975.5</v>
      </c>
      <c r="N215" s="4">
        <v>140054.5</v>
      </c>
      <c r="O215">
        <f t="shared" si="10"/>
        <v>0</v>
      </c>
      <c r="P215">
        <f t="shared" si="11"/>
        <v>0</v>
      </c>
      <c r="Q215">
        <f t="shared" si="12"/>
        <v>0</v>
      </c>
    </row>
    <row r="216" spans="1:17">
      <c r="A216" s="4" t="s">
        <v>75</v>
      </c>
      <c r="B216" s="7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 s="4">
        <v>4.7</v>
      </c>
      <c r="M216" s="4">
        <v>752321.72</v>
      </c>
      <c r="N216" s="4">
        <v>137788.51</v>
      </c>
      <c r="O216">
        <f t="shared" si="10"/>
        <v>0</v>
      </c>
      <c r="P216">
        <f t="shared" si="11"/>
        <v>0</v>
      </c>
      <c r="Q216">
        <f t="shared" si="12"/>
        <v>0</v>
      </c>
    </row>
    <row r="217" spans="1:17">
      <c r="A217" s="4" t="s">
        <v>75</v>
      </c>
      <c r="B217" s="7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0.147</v>
      </c>
      <c r="H217" s="4">
        <v>25</v>
      </c>
      <c r="I217" s="4">
        <v>88.4</v>
      </c>
      <c r="J217" s="4">
        <v>2.44</v>
      </c>
      <c r="K217" s="4">
        <v>0</v>
      </c>
      <c r="L217" s="4">
        <v>4.9</v>
      </c>
      <c r="M217" s="4">
        <v>836908.24</v>
      </c>
      <c r="N217" s="4">
        <v>141090.26</v>
      </c>
      <c r="O217">
        <f t="shared" si="10"/>
        <v>0</v>
      </c>
      <c r="P217">
        <f t="shared" si="11"/>
        <v>0</v>
      </c>
      <c r="Q217">
        <f t="shared" si="12"/>
        <v>0</v>
      </c>
    </row>
    <row r="218" spans="1:17">
      <c r="A218" s="4" t="s">
        <v>76</v>
      </c>
      <c r="B218" s="7">
        <v>45658</v>
      </c>
      <c r="C218" s="4" t="s">
        <v>20</v>
      </c>
      <c r="D218" s="4" t="s">
        <v>21</v>
      </c>
      <c r="E218" s="4">
        <v>69180.54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 s="4">
        <v>3.3</v>
      </c>
      <c r="M218" s="4">
        <v>674289.1</v>
      </c>
      <c r="N218" s="4">
        <v>117773.79</v>
      </c>
      <c r="O218">
        <f t="shared" si="10"/>
        <v>0</v>
      </c>
      <c r="P218">
        <f t="shared" si="11"/>
        <v>1</v>
      </c>
      <c r="Q218">
        <f t="shared" si="12"/>
        <v>0</v>
      </c>
    </row>
    <row r="219" spans="1:17">
      <c r="A219" s="4" t="s">
        <v>76</v>
      </c>
      <c r="B219" s="7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 s="4">
        <v>3.9</v>
      </c>
      <c r="M219" s="4">
        <v>622892.42</v>
      </c>
      <c r="N219" s="4">
        <v>101032.52</v>
      </c>
      <c r="O219">
        <f t="shared" si="10"/>
        <v>0</v>
      </c>
      <c r="P219">
        <f t="shared" si="11"/>
        <v>1</v>
      </c>
      <c r="Q219">
        <f t="shared" si="12"/>
        <v>0</v>
      </c>
    </row>
    <row r="220" spans="1:17">
      <c r="A220" s="4" t="s">
        <v>76</v>
      </c>
      <c r="B220" s="7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</v>
      </c>
      <c r="H220" s="4">
        <v>14</v>
      </c>
      <c r="I220" s="4">
        <v>90.7</v>
      </c>
      <c r="J220" s="4">
        <v>1.92</v>
      </c>
      <c r="K220" s="4">
        <v>0</v>
      </c>
      <c r="L220" s="4">
        <v>3.7</v>
      </c>
      <c r="M220" s="4">
        <v>673348.56</v>
      </c>
      <c r="N220" s="4">
        <v>69464.59</v>
      </c>
      <c r="O220">
        <f t="shared" si="10"/>
        <v>0</v>
      </c>
      <c r="P220">
        <f t="shared" si="11"/>
        <v>1</v>
      </c>
      <c r="Q220">
        <f t="shared" si="12"/>
        <v>0</v>
      </c>
    </row>
    <row r="221" spans="1:17">
      <c r="A221" s="4" t="s">
        <v>76</v>
      </c>
      <c r="B221" s="7">
        <v>45748</v>
      </c>
      <c r="C221" s="4" t="s">
        <v>20</v>
      </c>
      <c r="D221" s="4" t="s">
        <v>21</v>
      </c>
      <c r="E221" s="4">
        <v>16451.85</v>
      </c>
      <c r="F221" s="4">
        <v>4678</v>
      </c>
      <c r="G221" s="4">
        <v>0.133</v>
      </c>
      <c r="H221" s="4">
        <v>11</v>
      </c>
      <c r="I221" s="4">
        <v>95.9</v>
      </c>
      <c r="J221" s="4">
        <v>3.1</v>
      </c>
      <c r="K221" s="4">
        <v>0</v>
      </c>
      <c r="L221" s="4">
        <v>3.9</v>
      </c>
      <c r="M221" s="4">
        <v>606278.3</v>
      </c>
      <c r="N221" s="4">
        <v>102213.26</v>
      </c>
      <c r="O221">
        <f t="shared" si="10"/>
        <v>0</v>
      </c>
      <c r="P221">
        <f t="shared" si="11"/>
        <v>1</v>
      </c>
      <c r="Q221">
        <f t="shared" si="12"/>
        <v>0</v>
      </c>
    </row>
    <row r="222" spans="1:17">
      <c r="A222" s="4" t="s">
        <v>77</v>
      </c>
      <c r="B222" s="7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0.146</v>
      </c>
      <c r="H222" s="4">
        <v>18</v>
      </c>
      <c r="I222" s="4">
        <v>90.6</v>
      </c>
      <c r="J222" s="4">
        <v>6.34</v>
      </c>
      <c r="K222" s="4">
        <v>1</v>
      </c>
      <c r="L222" s="4">
        <v>3.8</v>
      </c>
      <c r="M222" s="4">
        <v>712219.81</v>
      </c>
      <c r="N222" s="4">
        <v>85906.54</v>
      </c>
      <c r="O222">
        <f t="shared" si="10"/>
        <v>1</v>
      </c>
      <c r="P222">
        <f t="shared" si="11"/>
        <v>0</v>
      </c>
      <c r="Q222">
        <f t="shared" si="12"/>
        <v>0</v>
      </c>
    </row>
    <row r="223" spans="1:17">
      <c r="A223" s="4" t="s">
        <v>77</v>
      </c>
      <c r="B223" s="7">
        <v>45689</v>
      </c>
      <c r="C223" s="4" t="s">
        <v>15</v>
      </c>
      <c r="D223" s="4" t="s">
        <v>18</v>
      </c>
      <c r="E223" s="4">
        <v>27194.64</v>
      </c>
      <c r="F223" s="4">
        <v>7404</v>
      </c>
      <c r="G223" s="4">
        <v>0.088</v>
      </c>
      <c r="H223" s="4">
        <v>18</v>
      </c>
      <c r="I223" s="4">
        <v>90.2</v>
      </c>
      <c r="J223" s="4">
        <v>1.2</v>
      </c>
      <c r="K223" s="4">
        <v>0</v>
      </c>
      <c r="L223" s="4">
        <v>3.4</v>
      </c>
      <c r="M223" s="4">
        <v>672670.54</v>
      </c>
      <c r="N223" s="4">
        <v>132684.18</v>
      </c>
      <c r="O223">
        <f t="shared" si="10"/>
        <v>1</v>
      </c>
      <c r="P223">
        <f t="shared" si="11"/>
        <v>0</v>
      </c>
      <c r="Q223">
        <f t="shared" si="12"/>
        <v>0</v>
      </c>
    </row>
    <row r="224" spans="1:17">
      <c r="A224" s="4" t="s">
        <v>77</v>
      </c>
      <c r="B224" s="7">
        <v>45717</v>
      </c>
      <c r="C224" s="4" t="s">
        <v>15</v>
      </c>
      <c r="D224" s="4" t="s">
        <v>18</v>
      </c>
      <c r="E224" s="4">
        <v>66962.74</v>
      </c>
      <c r="F224" s="4">
        <v>7880</v>
      </c>
      <c r="G224" s="4">
        <v>0.116</v>
      </c>
      <c r="H224" s="4">
        <v>19</v>
      </c>
      <c r="I224" s="4">
        <v>90.4</v>
      </c>
      <c r="J224" s="4">
        <v>4.5</v>
      </c>
      <c r="K224" s="4">
        <v>0</v>
      </c>
      <c r="L224" s="4">
        <v>3.3</v>
      </c>
      <c r="M224" s="4">
        <v>732667.92</v>
      </c>
      <c r="N224" s="4">
        <v>128654.46</v>
      </c>
      <c r="O224">
        <f t="shared" si="10"/>
        <v>1</v>
      </c>
      <c r="P224">
        <f t="shared" si="11"/>
        <v>0</v>
      </c>
      <c r="Q224">
        <f t="shared" si="12"/>
        <v>0</v>
      </c>
    </row>
    <row r="225" spans="1:17">
      <c r="A225" s="4" t="s">
        <v>77</v>
      </c>
      <c r="B225" s="7">
        <v>45748</v>
      </c>
      <c r="C225" s="4" t="s">
        <v>15</v>
      </c>
      <c r="D225" s="4" t="s">
        <v>18</v>
      </c>
      <c r="E225" s="4">
        <v>73540.99</v>
      </c>
      <c r="F225" s="4">
        <v>8773</v>
      </c>
      <c r="G225" s="4">
        <v>0.035</v>
      </c>
      <c r="H225" s="4">
        <v>21</v>
      </c>
      <c r="I225" s="4">
        <v>84.4</v>
      </c>
      <c r="J225" s="4">
        <v>6.68</v>
      </c>
      <c r="K225" s="4">
        <v>0</v>
      </c>
      <c r="L225" s="4">
        <v>3.6</v>
      </c>
      <c r="M225" s="4">
        <v>723531.4</v>
      </c>
      <c r="N225" s="4">
        <v>108794.85</v>
      </c>
      <c r="O225">
        <f t="shared" si="10"/>
        <v>1</v>
      </c>
      <c r="P225">
        <f t="shared" si="11"/>
        <v>0</v>
      </c>
      <c r="Q225">
        <f t="shared" si="12"/>
        <v>0</v>
      </c>
    </row>
    <row r="226" spans="1:17">
      <c r="A226" s="4" t="s">
        <v>78</v>
      </c>
      <c r="B226" s="7">
        <v>45658</v>
      </c>
      <c r="C226" s="4" t="s">
        <v>15</v>
      </c>
      <c r="D226" s="4" t="s">
        <v>28</v>
      </c>
      <c r="E226" s="4">
        <v>68212.29</v>
      </c>
      <c r="F226" s="4">
        <v>4713</v>
      </c>
      <c r="G226" s="4">
        <v>0.198</v>
      </c>
      <c r="H226" s="4">
        <v>15</v>
      </c>
      <c r="I226" s="4">
        <v>82.6</v>
      </c>
      <c r="J226" s="4">
        <v>4.07</v>
      </c>
      <c r="K226" s="4">
        <v>1</v>
      </c>
      <c r="L226" s="4">
        <v>3</v>
      </c>
      <c r="M226" s="4">
        <v>641564.6</v>
      </c>
      <c r="N226" s="4">
        <v>90468.96</v>
      </c>
      <c r="O226">
        <f t="shared" si="10"/>
        <v>1</v>
      </c>
      <c r="P226">
        <f t="shared" si="11"/>
        <v>0</v>
      </c>
      <c r="Q226">
        <f t="shared" si="12"/>
        <v>0</v>
      </c>
    </row>
    <row r="227" spans="1:17">
      <c r="A227" s="4" t="s">
        <v>78</v>
      </c>
      <c r="B227" s="7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 s="4">
        <v>3.4</v>
      </c>
      <c r="M227" s="4">
        <v>536545.49</v>
      </c>
      <c r="N227" s="4">
        <v>97917.45</v>
      </c>
      <c r="O227">
        <f t="shared" si="10"/>
        <v>1</v>
      </c>
      <c r="P227">
        <f t="shared" si="11"/>
        <v>0</v>
      </c>
      <c r="Q227">
        <f t="shared" si="12"/>
        <v>0</v>
      </c>
    </row>
    <row r="228" spans="1:17">
      <c r="A228" s="4" t="s">
        <v>78</v>
      </c>
      <c r="B228" s="7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</v>
      </c>
      <c r="H228" s="4">
        <v>12</v>
      </c>
      <c r="I228" s="4">
        <v>83.2</v>
      </c>
      <c r="J228" s="4">
        <v>15.58</v>
      </c>
      <c r="K228" s="4">
        <v>0</v>
      </c>
      <c r="L228" s="4">
        <v>3.3</v>
      </c>
      <c r="M228" s="4">
        <v>527681.56</v>
      </c>
      <c r="N228" s="4">
        <v>63153.05</v>
      </c>
      <c r="O228">
        <f t="shared" si="10"/>
        <v>1</v>
      </c>
      <c r="P228">
        <f t="shared" si="11"/>
        <v>0</v>
      </c>
      <c r="Q228">
        <f t="shared" si="12"/>
        <v>0</v>
      </c>
    </row>
    <row r="229" spans="1:17">
      <c r="A229" s="4" t="s">
        <v>78</v>
      </c>
      <c r="B229" s="7">
        <v>45748</v>
      </c>
      <c r="C229" s="4" t="s">
        <v>15</v>
      </c>
      <c r="D229" s="4" t="s">
        <v>28</v>
      </c>
      <c r="E229" s="4">
        <v>39341.45</v>
      </c>
      <c r="F229" s="4">
        <v>1375</v>
      </c>
      <c r="G229" s="4">
        <v>0.093</v>
      </c>
      <c r="H229" s="4">
        <v>5</v>
      </c>
      <c r="I229" s="4">
        <v>95</v>
      </c>
      <c r="J229" s="4">
        <v>5.32</v>
      </c>
      <c r="K229" s="4">
        <v>0</v>
      </c>
      <c r="L229" s="4"/>
      <c r="M229" s="4">
        <v>529598.94</v>
      </c>
      <c r="N229" s="4">
        <v>84334.33</v>
      </c>
      <c r="O229">
        <f t="shared" si="10"/>
        <v>1</v>
      </c>
      <c r="P229">
        <f t="shared" si="11"/>
        <v>0</v>
      </c>
      <c r="Q229">
        <f t="shared" si="12"/>
        <v>0</v>
      </c>
    </row>
    <row r="230" spans="1:17">
      <c r="A230" s="4" t="s">
        <v>79</v>
      </c>
      <c r="B230" s="7">
        <v>45658</v>
      </c>
      <c r="C230" s="4" t="s">
        <v>15</v>
      </c>
      <c r="D230" s="4" t="s">
        <v>18</v>
      </c>
      <c r="E230" s="4">
        <v>37324.23</v>
      </c>
      <c r="F230" s="4">
        <v>5957</v>
      </c>
      <c r="G230" s="4">
        <v>0.071</v>
      </c>
      <c r="H230" s="4">
        <v>12</v>
      </c>
      <c r="I230" s="4">
        <v>85.9</v>
      </c>
      <c r="J230" s="4">
        <v>0.37</v>
      </c>
      <c r="K230" s="4">
        <v>0</v>
      </c>
      <c r="L230" s="4">
        <v>3.8</v>
      </c>
      <c r="M230" s="4">
        <v>570963.31</v>
      </c>
      <c r="N230" s="4">
        <v>87342.25</v>
      </c>
      <c r="O230">
        <f t="shared" si="10"/>
        <v>1</v>
      </c>
      <c r="P230">
        <f t="shared" si="11"/>
        <v>0</v>
      </c>
      <c r="Q230">
        <f t="shared" si="12"/>
        <v>0</v>
      </c>
    </row>
    <row r="231" spans="1:17">
      <c r="A231" s="4" t="s">
        <v>79</v>
      </c>
      <c r="B231" s="7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</v>
      </c>
      <c r="H231" s="4">
        <v>24</v>
      </c>
      <c r="I231" s="4">
        <v>86.2</v>
      </c>
      <c r="J231" s="4">
        <v>21.63</v>
      </c>
      <c r="K231" s="4">
        <v>0</v>
      </c>
      <c r="L231" s="4">
        <v>4</v>
      </c>
      <c r="M231" s="4">
        <v>870937.4</v>
      </c>
      <c r="N231" s="4">
        <v>175282.74</v>
      </c>
      <c r="O231">
        <f t="shared" si="10"/>
        <v>1</v>
      </c>
      <c r="P231">
        <f t="shared" si="11"/>
        <v>0</v>
      </c>
      <c r="Q231">
        <f t="shared" si="12"/>
        <v>0</v>
      </c>
    </row>
    <row r="232" spans="1:17">
      <c r="A232" s="4" t="s">
        <v>79</v>
      </c>
      <c r="B232" s="7">
        <v>45717</v>
      </c>
      <c r="C232" s="4" t="s">
        <v>15</v>
      </c>
      <c r="D232" s="4" t="s">
        <v>18</v>
      </c>
      <c r="E232" s="4">
        <v>33173.95</v>
      </c>
      <c r="F232" s="4">
        <v>6545</v>
      </c>
      <c r="G232" s="4">
        <v>0.169</v>
      </c>
      <c r="H232" s="4">
        <v>15</v>
      </c>
      <c r="I232" s="4">
        <v>84.4</v>
      </c>
      <c r="J232" s="4">
        <v>2.48</v>
      </c>
      <c r="K232" s="4">
        <v>0</v>
      </c>
      <c r="L232" s="4">
        <v>3.9</v>
      </c>
      <c r="M232" s="4">
        <v>596969.27</v>
      </c>
      <c r="N232" s="4">
        <v>105669.51</v>
      </c>
      <c r="O232">
        <f t="shared" si="10"/>
        <v>1</v>
      </c>
      <c r="P232">
        <f t="shared" si="11"/>
        <v>0</v>
      </c>
      <c r="Q232">
        <f t="shared" si="12"/>
        <v>0</v>
      </c>
    </row>
    <row r="233" spans="1:17">
      <c r="A233" s="4" t="s">
        <v>79</v>
      </c>
      <c r="B233" s="7">
        <v>45748</v>
      </c>
      <c r="C233" s="4" t="s">
        <v>15</v>
      </c>
      <c r="D233" s="4" t="s">
        <v>18</v>
      </c>
      <c r="E233" s="4">
        <v>25818.08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v>0</v>
      </c>
      <c r="L233" s="4">
        <v>3.7</v>
      </c>
      <c r="M233" s="4">
        <v>647512.85</v>
      </c>
      <c r="N233" s="4">
        <v>153835.57</v>
      </c>
      <c r="O233">
        <f t="shared" si="10"/>
        <v>1</v>
      </c>
      <c r="P233">
        <f t="shared" si="11"/>
        <v>0</v>
      </c>
      <c r="Q233">
        <f t="shared" si="12"/>
        <v>0</v>
      </c>
    </row>
    <row r="234" spans="1:17">
      <c r="A234" s="4" t="s">
        <v>80</v>
      </c>
      <c r="B234" s="7">
        <v>45658</v>
      </c>
      <c r="C234" s="4" t="s">
        <v>27</v>
      </c>
      <c r="D234" s="4" t="s">
        <v>16</v>
      </c>
      <c r="E234" s="4">
        <v>47241.92</v>
      </c>
      <c r="F234" s="4">
        <v>4264</v>
      </c>
      <c r="G234" s="4">
        <v>0.069</v>
      </c>
      <c r="H234" s="4">
        <v>13</v>
      </c>
      <c r="I234" s="4">
        <v>95.3</v>
      </c>
      <c r="J234" s="4">
        <v>0.85</v>
      </c>
      <c r="K234" s="4">
        <v>0</v>
      </c>
      <c r="L234" s="4">
        <v>4.3</v>
      </c>
      <c r="M234" s="4">
        <v>658072.14</v>
      </c>
      <c r="N234" s="4">
        <v>110595.89</v>
      </c>
      <c r="O234">
        <f t="shared" si="10"/>
        <v>0</v>
      </c>
      <c r="P234">
        <f t="shared" si="11"/>
        <v>0</v>
      </c>
      <c r="Q234">
        <f t="shared" si="12"/>
        <v>0</v>
      </c>
    </row>
    <row r="235" spans="1:17">
      <c r="A235" s="4" t="s">
        <v>80</v>
      </c>
      <c r="B235" s="7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 s="4">
        <v>4</v>
      </c>
      <c r="M235" s="4">
        <v>723305.11</v>
      </c>
      <c r="N235" s="4">
        <v>128468.7</v>
      </c>
      <c r="O235">
        <f t="shared" si="10"/>
        <v>0</v>
      </c>
      <c r="P235">
        <f t="shared" si="11"/>
        <v>0</v>
      </c>
      <c r="Q235">
        <f t="shared" si="12"/>
        <v>0</v>
      </c>
    </row>
    <row r="236" spans="1:17">
      <c r="A236" s="4" t="s">
        <v>80</v>
      </c>
      <c r="B236" s="7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0.048</v>
      </c>
      <c r="H236" s="4">
        <v>16</v>
      </c>
      <c r="I236" s="4">
        <v>81.2</v>
      </c>
      <c r="J236" s="4">
        <v>1.46</v>
      </c>
      <c r="K236" s="4">
        <v>0</v>
      </c>
      <c r="L236" s="4">
        <v>4.5</v>
      </c>
      <c r="M236" s="4">
        <v>640666.53</v>
      </c>
      <c r="N236" s="4">
        <v>134919.16</v>
      </c>
      <c r="O236">
        <f t="shared" si="10"/>
        <v>0</v>
      </c>
      <c r="P236">
        <f t="shared" si="11"/>
        <v>0</v>
      </c>
      <c r="Q236">
        <f t="shared" si="12"/>
        <v>0</v>
      </c>
    </row>
    <row r="237" spans="1:17">
      <c r="A237" s="4" t="s">
        <v>80</v>
      </c>
      <c r="B237" s="7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0.119</v>
      </c>
      <c r="H237" s="4">
        <v>17</v>
      </c>
      <c r="I237" s="4">
        <v>92.2</v>
      </c>
      <c r="J237" s="4">
        <v>3.02</v>
      </c>
      <c r="K237" s="4">
        <v>0</v>
      </c>
      <c r="L237" s="4">
        <v>4.1</v>
      </c>
      <c r="M237" s="4">
        <v>670629.48</v>
      </c>
      <c r="N237" s="4">
        <v>100140.8</v>
      </c>
      <c r="O237">
        <f t="shared" si="10"/>
        <v>0</v>
      </c>
      <c r="P237">
        <f t="shared" si="11"/>
        <v>0</v>
      </c>
      <c r="Q237">
        <f t="shared" si="12"/>
        <v>0</v>
      </c>
    </row>
    <row r="238" spans="1:17">
      <c r="A238" s="4" t="s">
        <v>81</v>
      </c>
      <c r="B238" s="7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 s="4">
        <v>3.7</v>
      </c>
      <c r="M238" s="4">
        <v>721079.35</v>
      </c>
      <c r="N238" s="4">
        <v>115295.05</v>
      </c>
      <c r="O238">
        <f t="shared" si="10"/>
        <v>0</v>
      </c>
      <c r="P238">
        <f t="shared" si="11"/>
        <v>0</v>
      </c>
      <c r="Q238">
        <f t="shared" si="12"/>
        <v>0</v>
      </c>
    </row>
    <row r="239" spans="1:17">
      <c r="A239" s="4" t="s">
        <v>81</v>
      </c>
      <c r="B239" s="7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 s="4">
        <v>3.4</v>
      </c>
      <c r="M239" s="4">
        <v>810355.02</v>
      </c>
      <c r="N239" s="4">
        <v>131510</v>
      </c>
      <c r="O239">
        <f t="shared" si="10"/>
        <v>0</v>
      </c>
      <c r="P239">
        <f t="shared" si="11"/>
        <v>0</v>
      </c>
      <c r="Q239">
        <f t="shared" si="12"/>
        <v>0</v>
      </c>
    </row>
    <row r="240" spans="1:17">
      <c r="A240" s="4" t="s">
        <v>81</v>
      </c>
      <c r="B240" s="7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</v>
      </c>
      <c r="H240" s="4">
        <v>23</v>
      </c>
      <c r="I240" s="4">
        <v>80.9</v>
      </c>
      <c r="J240" s="4">
        <v>6.96</v>
      </c>
      <c r="K240" s="4">
        <v>0</v>
      </c>
      <c r="L240" s="4">
        <v>3.2</v>
      </c>
      <c r="M240" s="4">
        <v>761919.25</v>
      </c>
      <c r="N240" s="4">
        <v>111893.06</v>
      </c>
      <c r="O240">
        <f t="shared" si="10"/>
        <v>0</v>
      </c>
      <c r="P240">
        <f t="shared" si="11"/>
        <v>0</v>
      </c>
      <c r="Q240">
        <f t="shared" si="12"/>
        <v>0</v>
      </c>
    </row>
    <row r="241" spans="1:17">
      <c r="A241" s="4" t="s">
        <v>81</v>
      </c>
      <c r="B241" s="7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 s="4">
        <v>3.3</v>
      </c>
      <c r="M241" s="4">
        <v>737070.18</v>
      </c>
      <c r="N241" s="4">
        <v>117593.97</v>
      </c>
      <c r="O241">
        <f t="shared" si="10"/>
        <v>0</v>
      </c>
      <c r="P241">
        <f t="shared" si="11"/>
        <v>0</v>
      </c>
      <c r="Q241">
        <f t="shared" si="12"/>
        <v>0</v>
      </c>
    </row>
    <row r="242" spans="1:17">
      <c r="A242" s="4" t="s">
        <v>82</v>
      </c>
      <c r="B242" s="7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</v>
      </c>
      <c r="H242" s="4">
        <v>22</v>
      </c>
      <c r="I242" s="4">
        <v>85.6</v>
      </c>
      <c r="J242" s="4">
        <v>10.68</v>
      </c>
      <c r="K242" s="4">
        <v>1</v>
      </c>
      <c r="L242" s="4">
        <v>2.9</v>
      </c>
      <c r="M242" s="4">
        <v>776992.93</v>
      </c>
      <c r="N242" s="4">
        <v>101598.32</v>
      </c>
      <c r="O242">
        <f t="shared" si="10"/>
        <v>0</v>
      </c>
      <c r="P242">
        <f t="shared" si="11"/>
        <v>0</v>
      </c>
      <c r="Q242">
        <f t="shared" si="12"/>
        <v>1</v>
      </c>
    </row>
    <row r="243" spans="1:17">
      <c r="A243" s="4" t="s">
        <v>82</v>
      </c>
      <c r="B243" s="7">
        <v>45689</v>
      </c>
      <c r="C243" s="4" t="s">
        <v>24</v>
      </c>
      <c r="D243" s="4" t="s">
        <v>21</v>
      </c>
      <c r="E243" s="4">
        <v>51781.6</v>
      </c>
      <c r="F243" s="4">
        <v>5648</v>
      </c>
      <c r="G243" s="4">
        <v>0.059</v>
      </c>
      <c r="H243" s="4">
        <v>13</v>
      </c>
      <c r="I243" s="4">
        <v>85.5</v>
      </c>
      <c r="J243" s="4">
        <v>4.04</v>
      </c>
      <c r="K243" s="4">
        <v>0</v>
      </c>
      <c r="L243" s="4">
        <v>3.7</v>
      </c>
      <c r="M243" s="4">
        <v>676337.41</v>
      </c>
      <c r="N243" s="4">
        <v>104355.77</v>
      </c>
      <c r="O243">
        <f t="shared" si="10"/>
        <v>0</v>
      </c>
      <c r="P243">
        <f t="shared" si="11"/>
        <v>0</v>
      </c>
      <c r="Q243">
        <f t="shared" si="12"/>
        <v>1</v>
      </c>
    </row>
    <row r="244" spans="1:17">
      <c r="A244" s="4" t="s">
        <v>82</v>
      </c>
      <c r="B244" s="7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 s="4">
        <v>3.5</v>
      </c>
      <c r="M244" s="4">
        <v>828219.67</v>
      </c>
      <c r="N244" s="4">
        <v>179806.87</v>
      </c>
      <c r="O244">
        <f t="shared" si="10"/>
        <v>0</v>
      </c>
      <c r="P244">
        <f t="shared" si="11"/>
        <v>0</v>
      </c>
      <c r="Q244">
        <f t="shared" si="12"/>
        <v>1</v>
      </c>
    </row>
    <row r="245" spans="1:17">
      <c r="A245" s="4" t="s">
        <v>82</v>
      </c>
      <c r="B245" s="7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 s="4">
        <v>3</v>
      </c>
      <c r="M245" s="4">
        <v>763159.92</v>
      </c>
      <c r="N245" s="4">
        <v>177104.87</v>
      </c>
      <c r="O245">
        <f t="shared" si="10"/>
        <v>0</v>
      </c>
      <c r="P245">
        <f t="shared" si="11"/>
        <v>0</v>
      </c>
      <c r="Q245">
        <f t="shared" si="12"/>
        <v>1</v>
      </c>
    </row>
    <row r="246" spans="1:17">
      <c r="A246" s="4" t="s">
        <v>83</v>
      </c>
      <c r="B246" s="7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0.084</v>
      </c>
      <c r="H246" s="4">
        <v>20</v>
      </c>
      <c r="I246" s="4">
        <v>91</v>
      </c>
      <c r="J246" s="4">
        <v>0.95</v>
      </c>
      <c r="K246" s="4">
        <v>0</v>
      </c>
      <c r="L246" s="4">
        <v>3.2</v>
      </c>
      <c r="M246" s="4">
        <v>802001.68</v>
      </c>
      <c r="N246" s="4">
        <v>159715.82</v>
      </c>
      <c r="O246">
        <f t="shared" si="10"/>
        <v>1</v>
      </c>
      <c r="P246">
        <f t="shared" si="11"/>
        <v>0</v>
      </c>
      <c r="Q246">
        <f t="shared" si="12"/>
        <v>0</v>
      </c>
    </row>
    <row r="247" spans="1:17">
      <c r="A247" s="4" t="s">
        <v>83</v>
      </c>
      <c r="B247" s="7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 s="4">
        <v>3.4</v>
      </c>
      <c r="M247" s="4">
        <v>750471.34</v>
      </c>
      <c r="N247" s="4">
        <v>133788.04</v>
      </c>
      <c r="O247">
        <f t="shared" si="10"/>
        <v>1</v>
      </c>
      <c r="P247">
        <f t="shared" si="11"/>
        <v>0</v>
      </c>
      <c r="Q247">
        <f t="shared" si="12"/>
        <v>0</v>
      </c>
    </row>
    <row r="248" spans="1:17">
      <c r="A248" s="4" t="s">
        <v>83</v>
      </c>
      <c r="B248" s="7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 s="4">
        <v>3.1</v>
      </c>
      <c r="M248" s="4">
        <v>679230.86</v>
      </c>
      <c r="N248" s="4">
        <v>106927.58</v>
      </c>
      <c r="O248">
        <f t="shared" si="10"/>
        <v>1</v>
      </c>
      <c r="P248">
        <f t="shared" si="11"/>
        <v>0</v>
      </c>
      <c r="Q248">
        <f t="shared" si="12"/>
        <v>0</v>
      </c>
    </row>
    <row r="249" spans="1:17">
      <c r="A249" s="4" t="s">
        <v>83</v>
      </c>
      <c r="B249" s="7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</v>
      </c>
      <c r="H249" s="4">
        <v>20</v>
      </c>
      <c r="I249" s="4">
        <v>90.4</v>
      </c>
      <c r="J249" s="4">
        <v>1.7</v>
      </c>
      <c r="K249" s="4">
        <v>0</v>
      </c>
      <c r="L249" s="4">
        <v>3.3</v>
      </c>
      <c r="M249" s="4">
        <v>679888.74</v>
      </c>
      <c r="N249" s="4">
        <v>83406.89</v>
      </c>
      <c r="O249">
        <f t="shared" si="10"/>
        <v>1</v>
      </c>
      <c r="P249">
        <f t="shared" si="11"/>
        <v>0</v>
      </c>
      <c r="Q249">
        <f t="shared" si="12"/>
        <v>0</v>
      </c>
    </row>
    <row r="250" spans="1:17">
      <c r="A250" s="4" t="s">
        <v>84</v>
      </c>
      <c r="B250" s="7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v>0</v>
      </c>
      <c r="L250" s="4">
        <v>3.8</v>
      </c>
      <c r="M250" s="4">
        <v>606783.67</v>
      </c>
      <c r="N250" s="4">
        <v>74515.87</v>
      </c>
      <c r="O250">
        <f t="shared" si="10"/>
        <v>0</v>
      </c>
      <c r="P250">
        <f t="shared" si="11"/>
        <v>1</v>
      </c>
      <c r="Q250">
        <f t="shared" si="12"/>
        <v>0</v>
      </c>
    </row>
    <row r="251" spans="1:17">
      <c r="A251" s="4" t="s">
        <v>84</v>
      </c>
      <c r="B251" s="7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0.026</v>
      </c>
      <c r="H251" s="4">
        <v>17</v>
      </c>
      <c r="I251" s="4">
        <v>81.8</v>
      </c>
      <c r="J251" s="4">
        <v>5.1</v>
      </c>
      <c r="K251" s="4">
        <v>0</v>
      </c>
      <c r="L251" s="4">
        <v>3.6</v>
      </c>
      <c r="M251" s="4">
        <v>642751.42</v>
      </c>
      <c r="N251" s="4">
        <v>131942.15</v>
      </c>
      <c r="O251">
        <f t="shared" si="10"/>
        <v>0</v>
      </c>
      <c r="P251">
        <f t="shared" si="11"/>
        <v>1</v>
      </c>
      <c r="Q251">
        <f t="shared" si="12"/>
        <v>0</v>
      </c>
    </row>
    <row r="252" spans="1:17">
      <c r="A252" s="4" t="s">
        <v>84</v>
      </c>
      <c r="B252" s="7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</v>
      </c>
      <c r="H252" s="4">
        <v>15</v>
      </c>
      <c r="I252" s="4">
        <v>88.4</v>
      </c>
      <c r="J252" s="4">
        <v>0.83</v>
      </c>
      <c r="K252" s="4">
        <v>0</v>
      </c>
      <c r="L252" s="4">
        <v>4</v>
      </c>
      <c r="M252" s="4">
        <v>647953.78</v>
      </c>
      <c r="N252" s="4">
        <v>118497.43</v>
      </c>
      <c r="O252">
        <f t="shared" si="10"/>
        <v>0</v>
      </c>
      <c r="P252">
        <f t="shared" si="11"/>
        <v>1</v>
      </c>
      <c r="Q252">
        <f t="shared" si="12"/>
        <v>0</v>
      </c>
    </row>
    <row r="253" spans="1:17">
      <c r="A253" s="4" t="s">
        <v>84</v>
      </c>
      <c r="B253" s="7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0.087</v>
      </c>
      <c r="H253" s="4">
        <v>14</v>
      </c>
      <c r="I253" s="4">
        <v>79.2</v>
      </c>
      <c r="J253" s="4">
        <v>1.14</v>
      </c>
      <c r="K253" s="4">
        <v>0</v>
      </c>
      <c r="L253" s="4">
        <v>4</v>
      </c>
      <c r="M253" s="4">
        <v>729440.45</v>
      </c>
      <c r="N253" s="4">
        <v>87614.29</v>
      </c>
      <c r="O253">
        <f t="shared" si="10"/>
        <v>0</v>
      </c>
      <c r="P253">
        <f t="shared" si="11"/>
        <v>1</v>
      </c>
      <c r="Q253">
        <f t="shared" si="12"/>
        <v>0</v>
      </c>
    </row>
    <row r="254" spans="1:17">
      <c r="A254" s="4" t="s">
        <v>85</v>
      </c>
      <c r="B254" s="7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9.54</v>
      </c>
      <c r="K254" s="4">
        <v>0</v>
      </c>
      <c r="L254" s="4">
        <v>3.7</v>
      </c>
      <c r="M254" s="4">
        <v>764949</v>
      </c>
      <c r="N254" s="4">
        <v>148322.43</v>
      </c>
      <c r="O254">
        <f t="shared" si="10"/>
        <v>0</v>
      </c>
      <c r="P254">
        <f t="shared" si="11"/>
        <v>0</v>
      </c>
      <c r="Q254">
        <f t="shared" si="12"/>
        <v>1</v>
      </c>
    </row>
    <row r="255" spans="1:17">
      <c r="A255" s="4" t="s">
        <v>85</v>
      </c>
      <c r="B255" s="7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0.074</v>
      </c>
      <c r="H255" s="4">
        <v>17</v>
      </c>
      <c r="I255" s="4">
        <v>89.5</v>
      </c>
      <c r="J255" s="4">
        <v>5.48</v>
      </c>
      <c r="K255" s="4">
        <v>0</v>
      </c>
      <c r="L255" s="4">
        <v>3.2</v>
      </c>
      <c r="M255" s="4">
        <v>799046.94</v>
      </c>
      <c r="N255" s="4">
        <v>144553.64</v>
      </c>
      <c r="O255">
        <f t="shared" si="10"/>
        <v>0</v>
      </c>
      <c r="P255">
        <f t="shared" si="11"/>
        <v>0</v>
      </c>
      <c r="Q255">
        <f t="shared" si="12"/>
        <v>1</v>
      </c>
    </row>
    <row r="256" spans="1:17">
      <c r="A256" s="4" t="s">
        <v>85</v>
      </c>
      <c r="B256" s="7">
        <v>45717</v>
      </c>
      <c r="C256" s="4" t="s">
        <v>24</v>
      </c>
      <c r="D256" s="4" t="s">
        <v>21</v>
      </c>
      <c r="E256" s="4">
        <v>75412.74</v>
      </c>
      <c r="F256" s="4">
        <v>5641</v>
      </c>
      <c r="G256" s="4">
        <v>0.059</v>
      </c>
      <c r="H256" s="4">
        <v>13</v>
      </c>
      <c r="I256" s="4">
        <v>87.9</v>
      </c>
      <c r="J256" s="4">
        <v>0.84</v>
      </c>
      <c r="K256" s="4">
        <v>0</v>
      </c>
      <c r="L256" s="4">
        <v>3.6</v>
      </c>
      <c r="M256" s="4">
        <v>720079.54</v>
      </c>
      <c r="N256" s="4">
        <v>119499.47</v>
      </c>
      <c r="O256">
        <f t="shared" si="10"/>
        <v>0</v>
      </c>
      <c r="P256">
        <f t="shared" si="11"/>
        <v>0</v>
      </c>
      <c r="Q256">
        <f t="shared" si="12"/>
        <v>1</v>
      </c>
    </row>
    <row r="257" spans="1:17">
      <c r="A257" s="4" t="s">
        <v>85</v>
      </c>
      <c r="B257" s="7">
        <v>45748</v>
      </c>
      <c r="C257" s="4" t="s">
        <v>24</v>
      </c>
      <c r="D257" s="4" t="s">
        <v>21</v>
      </c>
      <c r="E257" s="4">
        <v>36290.08</v>
      </c>
      <c r="F257" s="4">
        <v>5787</v>
      </c>
      <c r="G257" s="4">
        <v>0</v>
      </c>
      <c r="H257" s="4">
        <v>17</v>
      </c>
      <c r="I257" s="4">
        <v>88.3</v>
      </c>
      <c r="J257" s="4">
        <v>4.19</v>
      </c>
      <c r="K257" s="4">
        <v>0</v>
      </c>
      <c r="L257" s="4">
        <v>4.1</v>
      </c>
      <c r="M257" s="4">
        <v>612390.14</v>
      </c>
      <c r="N257" s="4">
        <v>108985.74</v>
      </c>
      <c r="O257">
        <f t="shared" si="10"/>
        <v>0</v>
      </c>
      <c r="P257">
        <f t="shared" si="11"/>
        <v>0</v>
      </c>
      <c r="Q257">
        <f t="shared" si="12"/>
        <v>1</v>
      </c>
    </row>
    <row r="258" spans="1:17">
      <c r="A258" s="4" t="s">
        <v>86</v>
      </c>
      <c r="B258" s="7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0.051</v>
      </c>
      <c r="H258" s="4">
        <v>19</v>
      </c>
      <c r="I258" s="4">
        <v>87.8</v>
      </c>
      <c r="J258" s="4">
        <v>1.26</v>
      </c>
      <c r="K258" s="4">
        <v>1</v>
      </c>
      <c r="L258" s="4">
        <v>4.3</v>
      </c>
      <c r="M258" s="4">
        <v>840108.12</v>
      </c>
      <c r="N258" s="4">
        <v>126587.01</v>
      </c>
      <c r="O258">
        <f t="shared" si="10"/>
        <v>0</v>
      </c>
      <c r="P258">
        <f t="shared" si="11"/>
        <v>0</v>
      </c>
      <c r="Q258">
        <f t="shared" si="12"/>
        <v>1</v>
      </c>
    </row>
    <row r="259" spans="1:17">
      <c r="A259" s="4" t="s">
        <v>86</v>
      </c>
      <c r="B259" s="7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 s="4">
        <v>4.6</v>
      </c>
      <c r="M259" s="4">
        <v>697888.09</v>
      </c>
      <c r="N259" s="4">
        <v>116249.87</v>
      </c>
      <c r="O259">
        <f t="shared" ref="O259:O321" si="13">IF(C259="East",1,0)</f>
        <v>0</v>
      </c>
      <c r="P259">
        <f t="shared" ref="P259:P321" si="14">IF(C259="North",1,0)</f>
        <v>0</v>
      </c>
      <c r="Q259">
        <f t="shared" si="12"/>
        <v>1</v>
      </c>
    </row>
    <row r="260" spans="1:17">
      <c r="A260" s="4" t="s">
        <v>86</v>
      </c>
      <c r="B260" s="7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0.143</v>
      </c>
      <c r="H260" s="4">
        <v>19</v>
      </c>
      <c r="I260" s="4">
        <v>87.5</v>
      </c>
      <c r="J260" s="4">
        <v>3.69</v>
      </c>
      <c r="K260" s="4">
        <v>0</v>
      </c>
      <c r="L260" s="4">
        <v>4.4</v>
      </c>
      <c r="M260" s="4">
        <v>746115.59</v>
      </c>
      <c r="N260" s="4">
        <v>94662.96</v>
      </c>
      <c r="O260">
        <f t="shared" si="13"/>
        <v>0</v>
      </c>
      <c r="P260">
        <f t="shared" si="14"/>
        <v>0</v>
      </c>
      <c r="Q260">
        <f t="shared" si="12"/>
        <v>1</v>
      </c>
    </row>
    <row r="261" spans="1:17">
      <c r="A261" s="4" t="s">
        <v>86</v>
      </c>
      <c r="B261" s="7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0.007</v>
      </c>
      <c r="H261" s="4">
        <v>21</v>
      </c>
      <c r="I261" s="4">
        <v>92.2</v>
      </c>
      <c r="J261" s="4">
        <v>1.82</v>
      </c>
      <c r="K261" s="4">
        <v>0</v>
      </c>
      <c r="L261" s="4">
        <v>3.6</v>
      </c>
      <c r="M261" s="4">
        <v>776110.32</v>
      </c>
      <c r="N261" s="4">
        <v>139676.21</v>
      </c>
      <c r="O261">
        <f t="shared" si="13"/>
        <v>0</v>
      </c>
      <c r="P261">
        <f t="shared" si="14"/>
        <v>0</v>
      </c>
      <c r="Q261">
        <f t="shared" si="12"/>
        <v>1</v>
      </c>
    </row>
    <row r="262" spans="1:17">
      <c r="A262" s="4" t="s">
        <v>87</v>
      </c>
      <c r="B262" s="7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</v>
      </c>
      <c r="H262" s="4">
        <v>10</v>
      </c>
      <c r="I262" s="4">
        <v>90.3</v>
      </c>
      <c r="J262" s="4">
        <v>6.62</v>
      </c>
      <c r="K262" s="4">
        <v>0</v>
      </c>
      <c r="L262" s="4">
        <v>4.2</v>
      </c>
      <c r="M262" s="4">
        <v>528852.62</v>
      </c>
      <c r="N262" s="4">
        <v>68426.21</v>
      </c>
      <c r="O262">
        <f t="shared" si="13"/>
        <v>0</v>
      </c>
      <c r="P262">
        <f t="shared" si="14"/>
        <v>0</v>
      </c>
      <c r="Q262">
        <f t="shared" si="12"/>
        <v>0</v>
      </c>
    </row>
    <row r="263" spans="1:17">
      <c r="A263" s="4" t="s">
        <v>87</v>
      </c>
      <c r="B263" s="7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</v>
      </c>
      <c r="H263" s="4">
        <v>13</v>
      </c>
      <c r="I263" s="4">
        <v>87.3</v>
      </c>
      <c r="J263" s="4"/>
      <c r="K263" s="4">
        <v>0</v>
      </c>
      <c r="L263" s="4">
        <v>4.2</v>
      </c>
      <c r="M263" s="4">
        <v>605751.33</v>
      </c>
      <c r="N263" s="4">
        <v>60685.53</v>
      </c>
      <c r="O263">
        <f t="shared" si="13"/>
        <v>0</v>
      </c>
      <c r="P263">
        <f t="shared" si="14"/>
        <v>0</v>
      </c>
      <c r="Q263">
        <f t="shared" si="12"/>
        <v>0</v>
      </c>
    </row>
    <row r="264" spans="1:17">
      <c r="A264" s="4" t="s">
        <v>87</v>
      </c>
      <c r="B264" s="7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0.086</v>
      </c>
      <c r="H264" s="4">
        <v>11</v>
      </c>
      <c r="I264" s="4">
        <v>83.7</v>
      </c>
      <c r="J264" s="4">
        <v>6.92</v>
      </c>
      <c r="K264" s="4">
        <v>1</v>
      </c>
      <c r="L264" s="4">
        <v>4.2</v>
      </c>
      <c r="M264" s="4">
        <v>677640.65</v>
      </c>
      <c r="N264" s="4">
        <v>111610.89</v>
      </c>
      <c r="O264">
        <f t="shared" si="13"/>
        <v>0</v>
      </c>
      <c r="P264">
        <f t="shared" si="14"/>
        <v>0</v>
      </c>
      <c r="Q264">
        <f t="shared" si="12"/>
        <v>0</v>
      </c>
    </row>
    <row r="265" spans="1:17">
      <c r="A265" s="4" t="s">
        <v>87</v>
      </c>
      <c r="B265" s="7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 s="4">
        <v>3.7</v>
      </c>
      <c r="M265" s="4">
        <v>636613.23</v>
      </c>
      <c r="N265" s="4">
        <v>78908.35</v>
      </c>
      <c r="O265">
        <f t="shared" si="13"/>
        <v>0</v>
      </c>
      <c r="P265">
        <f t="shared" si="14"/>
        <v>0</v>
      </c>
      <c r="Q265">
        <f t="shared" si="12"/>
        <v>0</v>
      </c>
    </row>
    <row r="266" spans="1:17">
      <c r="A266" s="4" t="s">
        <v>88</v>
      </c>
      <c r="B266" s="7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0.094</v>
      </c>
      <c r="H266" s="4">
        <v>15</v>
      </c>
      <c r="I266" s="4">
        <v>95.8</v>
      </c>
      <c r="J266" s="4">
        <v>0.5</v>
      </c>
      <c r="K266" s="4">
        <v>0</v>
      </c>
      <c r="L266" s="4">
        <v>3.5</v>
      </c>
      <c r="M266" s="4">
        <v>708985.19</v>
      </c>
      <c r="N266" s="4">
        <v>125368.16</v>
      </c>
      <c r="O266">
        <f t="shared" si="13"/>
        <v>1</v>
      </c>
      <c r="P266">
        <f t="shared" si="14"/>
        <v>0</v>
      </c>
      <c r="Q266">
        <f t="shared" si="12"/>
        <v>0</v>
      </c>
    </row>
    <row r="267" spans="1:17">
      <c r="A267" s="4" t="s">
        <v>88</v>
      </c>
      <c r="B267" s="7">
        <v>45689</v>
      </c>
      <c r="C267" s="4" t="s">
        <v>15</v>
      </c>
      <c r="D267" s="4" t="s">
        <v>18</v>
      </c>
      <c r="E267" s="4">
        <v>73454.54</v>
      </c>
      <c r="F267" s="4">
        <v>8129</v>
      </c>
      <c r="G267" s="4">
        <v>0.211</v>
      </c>
      <c r="H267" s="4">
        <v>20</v>
      </c>
      <c r="I267" s="4">
        <v>85.2</v>
      </c>
      <c r="J267" s="4">
        <v>0.88</v>
      </c>
      <c r="K267" s="4">
        <v>0</v>
      </c>
      <c r="L267" s="4">
        <v>3.7</v>
      </c>
      <c r="M267" s="4">
        <v>767792.94</v>
      </c>
      <c r="N267" s="4">
        <v>96235.77</v>
      </c>
      <c r="O267">
        <f t="shared" si="13"/>
        <v>1</v>
      </c>
      <c r="P267">
        <f t="shared" si="14"/>
        <v>0</v>
      </c>
      <c r="Q267">
        <f t="shared" si="12"/>
        <v>0</v>
      </c>
    </row>
    <row r="268" spans="1:17">
      <c r="A268" s="4" t="s">
        <v>88</v>
      </c>
      <c r="B268" s="7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 s="4">
        <v>3.7</v>
      </c>
      <c r="M268" s="4">
        <v>745580.51</v>
      </c>
      <c r="N268" s="4">
        <v>116273.68</v>
      </c>
      <c r="O268">
        <f t="shared" si="13"/>
        <v>1</v>
      </c>
      <c r="P268">
        <f t="shared" si="14"/>
        <v>0</v>
      </c>
      <c r="Q268">
        <f t="shared" si="12"/>
        <v>0</v>
      </c>
    </row>
    <row r="269" spans="1:17">
      <c r="A269" s="4" t="s">
        <v>88</v>
      </c>
      <c r="B269" s="7">
        <v>45748</v>
      </c>
      <c r="C269" s="4" t="s">
        <v>15</v>
      </c>
      <c r="D269" s="4" t="s">
        <v>18</v>
      </c>
      <c r="E269" s="4">
        <v>67722.29</v>
      </c>
      <c r="F269" s="4">
        <v>7240</v>
      </c>
      <c r="G269" s="4">
        <v>0.026</v>
      </c>
      <c r="H269" s="4">
        <v>15</v>
      </c>
      <c r="I269" s="4">
        <v>92.9</v>
      </c>
      <c r="J269" s="4">
        <v>0.29</v>
      </c>
      <c r="K269" s="4">
        <v>0</v>
      </c>
      <c r="L269" s="4">
        <v>3.5</v>
      </c>
      <c r="M269" s="4">
        <v>762328.31</v>
      </c>
      <c r="N269" s="4">
        <v>159158.19</v>
      </c>
      <c r="O269">
        <f t="shared" si="13"/>
        <v>1</v>
      </c>
      <c r="P269">
        <f t="shared" si="14"/>
        <v>0</v>
      </c>
      <c r="Q269">
        <f t="shared" si="12"/>
        <v>0</v>
      </c>
    </row>
    <row r="270" spans="1:17">
      <c r="A270" s="4" t="s">
        <v>89</v>
      </c>
      <c r="B270" s="7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 s="4">
        <v>3.6</v>
      </c>
      <c r="M270" s="4">
        <v>660633.99</v>
      </c>
      <c r="N270" s="4">
        <v>118768.66</v>
      </c>
      <c r="O270">
        <f t="shared" si="13"/>
        <v>1</v>
      </c>
      <c r="P270">
        <f t="shared" si="14"/>
        <v>0</v>
      </c>
      <c r="Q270">
        <f t="shared" si="12"/>
        <v>0</v>
      </c>
    </row>
    <row r="271" spans="1:17">
      <c r="A271" s="4" t="s">
        <v>89</v>
      </c>
      <c r="B271" s="7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</v>
      </c>
      <c r="H271" s="4">
        <v>20</v>
      </c>
      <c r="I271" s="4">
        <v>89</v>
      </c>
      <c r="J271" s="4">
        <v>0.2</v>
      </c>
      <c r="K271" s="4">
        <v>0</v>
      </c>
      <c r="L271" s="4">
        <v>3.5</v>
      </c>
      <c r="M271" s="4">
        <v>739374.56</v>
      </c>
      <c r="N271" s="4">
        <v>121032.29</v>
      </c>
      <c r="O271">
        <f t="shared" si="13"/>
        <v>1</v>
      </c>
      <c r="P271">
        <f t="shared" si="14"/>
        <v>0</v>
      </c>
      <c r="Q271">
        <f t="shared" si="12"/>
        <v>0</v>
      </c>
    </row>
    <row r="272" spans="1:17">
      <c r="A272" s="4" t="s">
        <v>89</v>
      </c>
      <c r="B272" s="7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</v>
      </c>
      <c r="H272" s="4">
        <v>21</v>
      </c>
      <c r="I272" s="4">
        <v>87.6</v>
      </c>
      <c r="J272" s="4">
        <v>3.63</v>
      </c>
      <c r="K272" s="4">
        <v>1</v>
      </c>
      <c r="L272" s="4">
        <v>3.8</v>
      </c>
      <c r="M272" s="4">
        <v>799756.46</v>
      </c>
      <c r="N272" s="4">
        <v>105052.93</v>
      </c>
      <c r="O272">
        <f t="shared" si="13"/>
        <v>1</v>
      </c>
      <c r="P272">
        <f t="shared" si="14"/>
        <v>0</v>
      </c>
      <c r="Q272">
        <f t="shared" si="12"/>
        <v>0</v>
      </c>
    </row>
    <row r="273" spans="1:17">
      <c r="A273" s="4" t="s">
        <v>89</v>
      </c>
      <c r="B273" s="7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 s="4">
        <v>3.2</v>
      </c>
      <c r="M273" s="4">
        <v>593343</v>
      </c>
      <c r="N273" s="4">
        <v>82832.24</v>
      </c>
      <c r="O273">
        <f t="shared" si="13"/>
        <v>1</v>
      </c>
      <c r="P273">
        <f t="shared" si="14"/>
        <v>0</v>
      </c>
      <c r="Q273">
        <f t="shared" si="12"/>
        <v>0</v>
      </c>
    </row>
    <row r="274" spans="1:17">
      <c r="A274" s="4" t="s">
        <v>90</v>
      </c>
      <c r="B274" s="7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0.052</v>
      </c>
      <c r="H274" s="4">
        <v>17</v>
      </c>
      <c r="I274" s="4">
        <v>85.6</v>
      </c>
      <c r="J274" s="4">
        <v>6.23</v>
      </c>
      <c r="K274" s="4">
        <v>0</v>
      </c>
      <c r="L274" s="4">
        <v>3.3</v>
      </c>
      <c r="M274" s="4">
        <v>645039.97</v>
      </c>
      <c r="N274" s="4">
        <v>83093.33</v>
      </c>
      <c r="O274">
        <f t="shared" si="13"/>
        <v>0</v>
      </c>
      <c r="P274">
        <f t="shared" si="14"/>
        <v>0</v>
      </c>
      <c r="Q274">
        <f t="shared" si="12"/>
        <v>0</v>
      </c>
    </row>
    <row r="275" spans="1:17">
      <c r="A275" s="4" t="s">
        <v>90</v>
      </c>
      <c r="B275" s="7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 s="4">
        <v>3.1</v>
      </c>
      <c r="M275" s="4">
        <v>561597.33</v>
      </c>
      <c r="N275" s="4">
        <v>75072.75</v>
      </c>
      <c r="O275">
        <f t="shared" si="13"/>
        <v>0</v>
      </c>
      <c r="P275">
        <f t="shared" si="14"/>
        <v>0</v>
      </c>
      <c r="Q275">
        <f t="shared" si="12"/>
        <v>0</v>
      </c>
    </row>
    <row r="276" spans="1:17">
      <c r="A276" s="4" t="s">
        <v>90</v>
      </c>
      <c r="B276" s="7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0.141</v>
      </c>
      <c r="H276" s="4">
        <v>17</v>
      </c>
      <c r="I276" s="4">
        <v>89.8</v>
      </c>
      <c r="J276" s="4">
        <v>1.76</v>
      </c>
      <c r="K276" s="4">
        <v>0</v>
      </c>
      <c r="L276" s="4">
        <v>3.1</v>
      </c>
      <c r="M276" s="4">
        <v>635837.74</v>
      </c>
      <c r="N276" s="4">
        <v>114740.64</v>
      </c>
      <c r="O276">
        <f t="shared" si="13"/>
        <v>0</v>
      </c>
      <c r="P276">
        <f t="shared" si="14"/>
        <v>0</v>
      </c>
      <c r="Q276">
        <f t="shared" si="12"/>
        <v>0</v>
      </c>
    </row>
    <row r="277" spans="1:17">
      <c r="A277" s="4" t="s">
        <v>90</v>
      </c>
      <c r="B277" s="7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77.6</v>
      </c>
      <c r="J277" s="4">
        <v>2.86</v>
      </c>
      <c r="K277" s="4">
        <v>0</v>
      </c>
      <c r="L277" s="4">
        <v>3</v>
      </c>
      <c r="M277" s="4">
        <v>686737.87</v>
      </c>
      <c r="N277" s="4">
        <v>83839.67</v>
      </c>
      <c r="O277">
        <f t="shared" si="13"/>
        <v>0</v>
      </c>
      <c r="P277">
        <f t="shared" si="14"/>
        <v>0</v>
      </c>
      <c r="Q277">
        <f t="shared" si="12"/>
        <v>0</v>
      </c>
    </row>
    <row r="278" spans="1:17">
      <c r="A278" s="4" t="s">
        <v>91</v>
      </c>
      <c r="B278" s="7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 s="4">
        <v>3.4</v>
      </c>
      <c r="M278" s="4">
        <v>673076.34</v>
      </c>
      <c r="N278" s="4">
        <v>93899.76</v>
      </c>
      <c r="O278">
        <f t="shared" si="13"/>
        <v>0</v>
      </c>
      <c r="P278">
        <f t="shared" si="14"/>
        <v>0</v>
      </c>
      <c r="Q278">
        <f t="shared" ref="Q278:Q321" si="15">IF(C278="South",1,0)</f>
        <v>1</v>
      </c>
    </row>
    <row r="279" spans="1:17">
      <c r="A279" s="4" t="s">
        <v>91</v>
      </c>
      <c r="B279" s="7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 s="4">
        <v>4</v>
      </c>
      <c r="M279" s="4">
        <v>738548.42</v>
      </c>
      <c r="N279" s="4">
        <v>134282.77</v>
      </c>
      <c r="O279">
        <f t="shared" si="13"/>
        <v>0</v>
      </c>
      <c r="P279">
        <f t="shared" si="14"/>
        <v>0</v>
      </c>
      <c r="Q279">
        <f t="shared" si="15"/>
        <v>1</v>
      </c>
    </row>
    <row r="280" spans="1:17">
      <c r="A280" s="4" t="s">
        <v>91</v>
      </c>
      <c r="B280" s="7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0.213</v>
      </c>
      <c r="H280" s="4">
        <v>18</v>
      </c>
      <c r="I280" s="4">
        <v>86.5</v>
      </c>
      <c r="J280" s="4">
        <v>1.44</v>
      </c>
      <c r="K280" s="4">
        <v>0</v>
      </c>
      <c r="L280" s="4">
        <v>3.9</v>
      </c>
      <c r="M280" s="4">
        <v>756619.77</v>
      </c>
      <c r="N280" s="4">
        <v>112057.69</v>
      </c>
      <c r="O280">
        <f t="shared" si="13"/>
        <v>0</v>
      </c>
      <c r="P280">
        <f t="shared" si="14"/>
        <v>0</v>
      </c>
      <c r="Q280">
        <f t="shared" si="15"/>
        <v>1</v>
      </c>
    </row>
    <row r="281" spans="1:17">
      <c r="A281" s="4" t="s">
        <v>91</v>
      </c>
      <c r="B281" s="7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0.004</v>
      </c>
      <c r="H281" s="4">
        <v>23</v>
      </c>
      <c r="I281" s="4">
        <v>87</v>
      </c>
      <c r="J281" s="4">
        <v>3.65</v>
      </c>
      <c r="K281" s="4">
        <v>0</v>
      </c>
      <c r="L281" s="4">
        <v>3.7</v>
      </c>
      <c r="M281" s="4">
        <v>761122.42</v>
      </c>
      <c r="N281" s="4">
        <v>149802.04</v>
      </c>
      <c r="O281">
        <f t="shared" si="13"/>
        <v>0</v>
      </c>
      <c r="P281">
        <f t="shared" si="14"/>
        <v>0</v>
      </c>
      <c r="Q281">
        <f t="shared" si="15"/>
        <v>1</v>
      </c>
    </row>
    <row r="282" spans="1:17">
      <c r="A282" s="4" t="s">
        <v>92</v>
      </c>
      <c r="B282" s="7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0.069</v>
      </c>
      <c r="H282" s="4">
        <v>10</v>
      </c>
      <c r="I282" s="4">
        <v>83</v>
      </c>
      <c r="J282" s="4">
        <v>1.23</v>
      </c>
      <c r="K282" s="4">
        <v>1</v>
      </c>
      <c r="L282" s="4">
        <v>3.8</v>
      </c>
      <c r="M282" s="4">
        <v>524899.57</v>
      </c>
      <c r="N282" s="4">
        <v>63619.98</v>
      </c>
      <c r="O282">
        <f t="shared" si="13"/>
        <v>0</v>
      </c>
      <c r="P282">
        <f t="shared" si="14"/>
        <v>0</v>
      </c>
      <c r="Q282">
        <f t="shared" si="15"/>
        <v>1</v>
      </c>
    </row>
    <row r="283" spans="1:17">
      <c r="A283" s="4" t="s">
        <v>92</v>
      </c>
      <c r="B283" s="7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0.051</v>
      </c>
      <c r="H283" s="4">
        <v>15</v>
      </c>
      <c r="I283" s="4">
        <v>87.9</v>
      </c>
      <c r="J283" s="4">
        <v>3.09</v>
      </c>
      <c r="K283" s="4">
        <v>0</v>
      </c>
      <c r="L283" s="4">
        <v>4</v>
      </c>
      <c r="M283" s="4">
        <v>555557.77</v>
      </c>
      <c r="N283" s="4">
        <v>86475.51</v>
      </c>
      <c r="O283">
        <f t="shared" si="13"/>
        <v>0</v>
      </c>
      <c r="P283">
        <f t="shared" si="14"/>
        <v>0</v>
      </c>
      <c r="Q283">
        <f t="shared" si="15"/>
        <v>1</v>
      </c>
    </row>
    <row r="284" spans="1:17">
      <c r="A284" s="4" t="s">
        <v>92</v>
      </c>
      <c r="B284" s="7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0.07</v>
      </c>
      <c r="H284" s="4">
        <v>17</v>
      </c>
      <c r="I284" s="4">
        <v>95.8</v>
      </c>
      <c r="J284" s="4">
        <v>3.15</v>
      </c>
      <c r="K284" s="4">
        <v>0</v>
      </c>
      <c r="L284" s="4">
        <v>4</v>
      </c>
      <c r="M284" s="4">
        <v>714083.68</v>
      </c>
      <c r="N284" s="4">
        <v>127231.74</v>
      </c>
      <c r="O284">
        <f t="shared" si="13"/>
        <v>0</v>
      </c>
      <c r="P284">
        <f t="shared" si="14"/>
        <v>0</v>
      </c>
      <c r="Q284">
        <f t="shared" si="15"/>
        <v>1</v>
      </c>
    </row>
    <row r="285" spans="1:17">
      <c r="A285" s="4" t="s">
        <v>92</v>
      </c>
      <c r="B285" s="7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</v>
      </c>
      <c r="J285" s="4">
        <v>6.44</v>
      </c>
      <c r="K285" s="4">
        <v>0</v>
      </c>
      <c r="L285" s="4">
        <v>4.2</v>
      </c>
      <c r="M285" s="4">
        <v>497439.82</v>
      </c>
      <c r="N285" s="4">
        <v>93372.75</v>
      </c>
      <c r="O285">
        <f t="shared" si="13"/>
        <v>0</v>
      </c>
      <c r="P285">
        <f t="shared" si="14"/>
        <v>0</v>
      </c>
      <c r="Q285">
        <f t="shared" si="15"/>
        <v>1</v>
      </c>
    </row>
    <row r="286" spans="1:17">
      <c r="A286" s="4" t="s">
        <v>93</v>
      </c>
      <c r="B286" s="7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0.009</v>
      </c>
      <c r="H286" s="4">
        <v>13</v>
      </c>
      <c r="I286" s="4">
        <v>86.3</v>
      </c>
      <c r="J286" s="4">
        <v>0.2</v>
      </c>
      <c r="K286" s="4">
        <v>1</v>
      </c>
      <c r="L286" s="4">
        <v>4.5</v>
      </c>
      <c r="M286" s="4">
        <v>636775.66</v>
      </c>
      <c r="N286" s="4">
        <v>122636.86</v>
      </c>
      <c r="O286">
        <f t="shared" si="13"/>
        <v>0</v>
      </c>
      <c r="P286">
        <f t="shared" si="14"/>
        <v>0</v>
      </c>
      <c r="Q286">
        <f t="shared" si="15"/>
        <v>0</v>
      </c>
    </row>
    <row r="287" spans="1:17">
      <c r="A287" s="4" t="s">
        <v>93</v>
      </c>
      <c r="B287" s="7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</v>
      </c>
      <c r="H287" s="4">
        <v>10</v>
      </c>
      <c r="I287" s="4">
        <v>90.4</v>
      </c>
      <c r="J287" s="4">
        <v>0.59</v>
      </c>
      <c r="K287" s="4">
        <v>0</v>
      </c>
      <c r="L287" s="4">
        <v>4.5</v>
      </c>
      <c r="M287" s="4">
        <v>633009.53</v>
      </c>
      <c r="N287" s="4">
        <v>123782.67</v>
      </c>
      <c r="O287">
        <f t="shared" si="13"/>
        <v>0</v>
      </c>
      <c r="P287">
        <f t="shared" si="14"/>
        <v>0</v>
      </c>
      <c r="Q287">
        <f t="shared" si="15"/>
        <v>0</v>
      </c>
    </row>
    <row r="288" spans="1:17">
      <c r="A288" s="4" t="s">
        <v>93</v>
      </c>
      <c r="B288" s="7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 s="4">
        <v>4.2</v>
      </c>
      <c r="M288" s="4">
        <v>609949</v>
      </c>
      <c r="N288" s="4">
        <v>126789.25</v>
      </c>
      <c r="O288">
        <f t="shared" si="13"/>
        <v>0</v>
      </c>
      <c r="P288">
        <f t="shared" si="14"/>
        <v>0</v>
      </c>
      <c r="Q288">
        <f t="shared" si="15"/>
        <v>0</v>
      </c>
    </row>
    <row r="289" spans="1:17">
      <c r="A289" s="4" t="s">
        <v>93</v>
      </c>
      <c r="B289" s="7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0.174</v>
      </c>
      <c r="H289" s="4">
        <v>13</v>
      </c>
      <c r="I289" s="4">
        <v>82.4</v>
      </c>
      <c r="J289" s="4">
        <v>1.36</v>
      </c>
      <c r="K289" s="4">
        <v>0</v>
      </c>
      <c r="L289" s="4">
        <v>4.8</v>
      </c>
      <c r="M289" s="4">
        <v>548103.7</v>
      </c>
      <c r="N289" s="4">
        <v>99905.52</v>
      </c>
      <c r="O289">
        <f t="shared" si="13"/>
        <v>0</v>
      </c>
      <c r="P289">
        <f t="shared" si="14"/>
        <v>0</v>
      </c>
      <c r="Q289">
        <f t="shared" si="15"/>
        <v>0</v>
      </c>
    </row>
    <row r="290" spans="1:17">
      <c r="A290" s="4" t="s">
        <v>94</v>
      </c>
      <c r="B290" s="7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</v>
      </c>
      <c r="H290" s="4">
        <v>23</v>
      </c>
      <c r="I290" s="4">
        <v>72.9</v>
      </c>
      <c r="J290" s="4">
        <v>3.34</v>
      </c>
      <c r="K290" s="4">
        <v>0</v>
      </c>
      <c r="L290" s="4">
        <v>3.7</v>
      </c>
      <c r="M290" s="4">
        <v>729424.42</v>
      </c>
      <c r="N290" s="4">
        <v>75592.28</v>
      </c>
      <c r="O290">
        <f t="shared" si="13"/>
        <v>1</v>
      </c>
      <c r="P290">
        <f t="shared" si="14"/>
        <v>0</v>
      </c>
      <c r="Q290">
        <f t="shared" si="15"/>
        <v>0</v>
      </c>
    </row>
    <row r="291" spans="1:17">
      <c r="A291" s="4" t="s">
        <v>94</v>
      </c>
      <c r="B291" s="7">
        <v>45689</v>
      </c>
      <c r="C291" s="4" t="s">
        <v>15</v>
      </c>
      <c r="D291" s="4" t="s">
        <v>16</v>
      </c>
      <c r="E291" s="4">
        <v>68909.26</v>
      </c>
      <c r="F291" s="4">
        <v>7794</v>
      </c>
      <c r="G291" s="4">
        <v>0.284</v>
      </c>
      <c r="H291" s="4">
        <v>22</v>
      </c>
      <c r="I291" s="4">
        <v>89</v>
      </c>
      <c r="J291" s="4">
        <v>0.33</v>
      </c>
      <c r="K291" s="4">
        <v>0</v>
      </c>
      <c r="L291" s="4">
        <v>4</v>
      </c>
      <c r="M291" s="4">
        <v>696261.49</v>
      </c>
      <c r="N291" s="4">
        <v>72455.35</v>
      </c>
      <c r="O291">
        <f t="shared" si="13"/>
        <v>1</v>
      </c>
      <c r="P291">
        <f t="shared" si="14"/>
        <v>0</v>
      </c>
      <c r="Q291">
        <f t="shared" si="15"/>
        <v>0</v>
      </c>
    </row>
    <row r="292" spans="1:17">
      <c r="A292" s="4" t="s">
        <v>94</v>
      </c>
      <c r="B292" s="7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0.032</v>
      </c>
      <c r="H292" s="4">
        <v>21</v>
      </c>
      <c r="I292" s="4">
        <v>83.2</v>
      </c>
      <c r="J292" s="4">
        <v>3.44</v>
      </c>
      <c r="K292" s="4">
        <v>1</v>
      </c>
      <c r="L292" s="4">
        <v>4.3</v>
      </c>
      <c r="M292" s="4">
        <v>813316.71</v>
      </c>
      <c r="N292" s="4">
        <v>110077.42</v>
      </c>
      <c r="O292">
        <f t="shared" si="13"/>
        <v>1</v>
      </c>
      <c r="P292">
        <f t="shared" si="14"/>
        <v>0</v>
      </c>
      <c r="Q292">
        <f t="shared" si="15"/>
        <v>0</v>
      </c>
    </row>
    <row r="293" spans="1:17">
      <c r="A293" s="4" t="s">
        <v>94</v>
      </c>
      <c r="B293" s="7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 s="4">
        <v>4.1</v>
      </c>
      <c r="M293" s="4">
        <v>702068.92</v>
      </c>
      <c r="N293" s="4">
        <v>111266.63</v>
      </c>
      <c r="O293">
        <f t="shared" si="13"/>
        <v>1</v>
      </c>
      <c r="P293">
        <f t="shared" si="14"/>
        <v>0</v>
      </c>
      <c r="Q293">
        <f t="shared" si="15"/>
        <v>0</v>
      </c>
    </row>
    <row r="294" spans="1:17">
      <c r="A294" s="4" t="s">
        <v>95</v>
      </c>
      <c r="B294" s="7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0.096</v>
      </c>
      <c r="H294" s="4">
        <v>8</v>
      </c>
      <c r="I294" s="4">
        <v>86.7</v>
      </c>
      <c r="J294" s="4">
        <v>6.04</v>
      </c>
      <c r="K294" s="4">
        <v>0</v>
      </c>
      <c r="L294" s="4">
        <v>4.5</v>
      </c>
      <c r="M294" s="4">
        <v>546223.7</v>
      </c>
      <c r="N294" s="4">
        <v>100769.17</v>
      </c>
      <c r="O294">
        <f t="shared" si="13"/>
        <v>0</v>
      </c>
      <c r="P294">
        <f t="shared" si="14"/>
        <v>0</v>
      </c>
      <c r="Q294">
        <f t="shared" si="15"/>
        <v>0</v>
      </c>
    </row>
    <row r="295" spans="1:17">
      <c r="A295" s="4" t="s">
        <v>95</v>
      </c>
      <c r="B295" s="7">
        <v>45689</v>
      </c>
      <c r="C295" s="4" t="s">
        <v>27</v>
      </c>
      <c r="D295" s="4" t="s">
        <v>18</v>
      </c>
      <c r="E295" s="4">
        <v>40102.88</v>
      </c>
      <c r="F295" s="4">
        <v>2358</v>
      </c>
      <c r="G295" s="4">
        <v>0.119</v>
      </c>
      <c r="H295" s="4">
        <v>9</v>
      </c>
      <c r="I295" s="4">
        <v>88.7</v>
      </c>
      <c r="J295" s="4">
        <v>1.6</v>
      </c>
      <c r="K295" s="4">
        <v>0</v>
      </c>
      <c r="L295" s="4">
        <v>4.2</v>
      </c>
      <c r="M295" s="4">
        <v>533121.26</v>
      </c>
      <c r="N295" s="4">
        <v>55063.39</v>
      </c>
      <c r="O295">
        <f t="shared" si="13"/>
        <v>0</v>
      </c>
      <c r="P295">
        <f t="shared" si="14"/>
        <v>0</v>
      </c>
      <c r="Q295">
        <f t="shared" si="15"/>
        <v>0</v>
      </c>
    </row>
    <row r="296" spans="1:17">
      <c r="A296" s="4" t="s">
        <v>95</v>
      </c>
      <c r="B296" s="7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</v>
      </c>
      <c r="K296" s="4">
        <v>0</v>
      </c>
      <c r="L296" s="4">
        <v>4.7</v>
      </c>
      <c r="M296" s="4">
        <v>498970.32</v>
      </c>
      <c r="N296" s="4">
        <v>69656.7</v>
      </c>
      <c r="O296">
        <f t="shared" si="13"/>
        <v>0</v>
      </c>
      <c r="P296">
        <f t="shared" si="14"/>
        <v>0</v>
      </c>
      <c r="Q296">
        <f t="shared" si="15"/>
        <v>0</v>
      </c>
    </row>
    <row r="297" spans="1:17">
      <c r="A297" s="4" t="s">
        <v>95</v>
      </c>
      <c r="B297" s="7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</v>
      </c>
      <c r="H297" s="4">
        <v>9</v>
      </c>
      <c r="I297" s="4">
        <v>81</v>
      </c>
      <c r="J297" s="4">
        <v>0.74</v>
      </c>
      <c r="K297" s="4">
        <v>0</v>
      </c>
      <c r="L297" s="4">
        <v>4.6</v>
      </c>
      <c r="M297" s="4">
        <v>487738.26</v>
      </c>
      <c r="N297" s="4">
        <v>96435.6</v>
      </c>
      <c r="O297">
        <f t="shared" si="13"/>
        <v>0</v>
      </c>
      <c r="P297">
        <f t="shared" si="14"/>
        <v>0</v>
      </c>
      <c r="Q297">
        <f t="shared" si="15"/>
        <v>0</v>
      </c>
    </row>
    <row r="298" spans="1:17">
      <c r="A298" s="4" t="s">
        <v>96</v>
      </c>
      <c r="B298" s="7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0.036</v>
      </c>
      <c r="H298" s="4">
        <v>12</v>
      </c>
      <c r="I298" s="4">
        <v>93.1</v>
      </c>
      <c r="J298" s="4">
        <v>6.13</v>
      </c>
      <c r="K298" s="4">
        <v>0</v>
      </c>
      <c r="L298" s="4">
        <v>3.3</v>
      </c>
      <c r="M298" s="4">
        <v>668459.37</v>
      </c>
      <c r="N298" s="4">
        <v>126435.42</v>
      </c>
      <c r="O298">
        <f t="shared" si="13"/>
        <v>0</v>
      </c>
      <c r="P298">
        <f t="shared" si="14"/>
        <v>0</v>
      </c>
      <c r="Q298">
        <f t="shared" si="15"/>
        <v>0</v>
      </c>
    </row>
    <row r="299" spans="1:17">
      <c r="A299" s="4" t="s">
        <v>96</v>
      </c>
      <c r="B299" s="7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0.102</v>
      </c>
      <c r="H299" s="4">
        <v>14</v>
      </c>
      <c r="I299" s="4">
        <v>96.2</v>
      </c>
      <c r="J299" s="4">
        <v>1.41</v>
      </c>
      <c r="K299" s="4">
        <v>0</v>
      </c>
      <c r="L299" s="4">
        <v>3.3</v>
      </c>
      <c r="M299" s="4">
        <v>763162.45</v>
      </c>
      <c r="N299" s="4">
        <v>162524.05</v>
      </c>
      <c r="O299">
        <f t="shared" si="13"/>
        <v>0</v>
      </c>
      <c r="P299">
        <f t="shared" si="14"/>
        <v>0</v>
      </c>
      <c r="Q299">
        <f t="shared" si="15"/>
        <v>0</v>
      </c>
    </row>
    <row r="300" spans="1:17">
      <c r="A300" s="4" t="s">
        <v>96</v>
      </c>
      <c r="B300" s="7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 s="4">
        <v>3.1</v>
      </c>
      <c r="M300" s="4">
        <v>599017.33</v>
      </c>
      <c r="N300" s="4">
        <v>134009.92</v>
      </c>
      <c r="O300">
        <f t="shared" si="13"/>
        <v>0</v>
      </c>
      <c r="P300">
        <f t="shared" si="14"/>
        <v>0</v>
      </c>
      <c r="Q300">
        <f t="shared" si="15"/>
        <v>0</v>
      </c>
    </row>
    <row r="301" spans="1:17">
      <c r="A301" s="4" t="s">
        <v>96</v>
      </c>
      <c r="B301" s="7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</v>
      </c>
      <c r="H301" s="4">
        <v>6</v>
      </c>
      <c r="I301" s="4">
        <v>89.3</v>
      </c>
      <c r="J301" s="4">
        <v>15.06</v>
      </c>
      <c r="K301" s="4">
        <v>0</v>
      </c>
      <c r="L301" s="4">
        <v>3.2</v>
      </c>
      <c r="M301" s="4">
        <v>401582.58</v>
      </c>
      <c r="N301" s="4">
        <v>68454.93</v>
      </c>
      <c r="O301">
        <f t="shared" si="13"/>
        <v>0</v>
      </c>
      <c r="P301">
        <f t="shared" si="14"/>
        <v>0</v>
      </c>
      <c r="Q301">
        <f t="shared" si="15"/>
        <v>0</v>
      </c>
    </row>
    <row r="302" spans="1:17">
      <c r="A302" s="4" t="s">
        <v>97</v>
      </c>
      <c r="B302" s="7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0.141</v>
      </c>
      <c r="H302" s="4">
        <v>22</v>
      </c>
      <c r="I302" s="4">
        <v>88.2</v>
      </c>
      <c r="J302" s="4">
        <v>5.07</v>
      </c>
      <c r="K302" s="4">
        <v>1</v>
      </c>
      <c r="L302" s="4">
        <v>4.1</v>
      </c>
      <c r="M302" s="4">
        <v>703812.99</v>
      </c>
      <c r="N302" s="4">
        <v>133577.98</v>
      </c>
      <c r="O302">
        <f t="shared" si="13"/>
        <v>0</v>
      </c>
      <c r="P302">
        <f t="shared" si="14"/>
        <v>1</v>
      </c>
      <c r="Q302">
        <f t="shared" si="15"/>
        <v>0</v>
      </c>
    </row>
    <row r="303" spans="1:17">
      <c r="A303" s="4" t="s">
        <v>97</v>
      </c>
      <c r="B303" s="7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0.074</v>
      </c>
      <c r="H303" s="4">
        <v>20</v>
      </c>
      <c r="I303" s="4">
        <v>83.3</v>
      </c>
      <c r="J303" s="4">
        <v>3.6</v>
      </c>
      <c r="K303" s="4">
        <v>0</v>
      </c>
      <c r="L303" s="4">
        <v>3.7</v>
      </c>
      <c r="M303" s="4">
        <v>724346.73</v>
      </c>
      <c r="N303" s="4">
        <v>155013.91</v>
      </c>
      <c r="O303">
        <f t="shared" si="13"/>
        <v>0</v>
      </c>
      <c r="P303">
        <f t="shared" si="14"/>
        <v>1</v>
      </c>
      <c r="Q303">
        <f t="shared" si="15"/>
        <v>0</v>
      </c>
    </row>
    <row r="304" spans="1:17">
      <c r="A304" s="4" t="s">
        <v>97</v>
      </c>
      <c r="B304" s="7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</v>
      </c>
      <c r="H304" s="4">
        <v>19</v>
      </c>
      <c r="I304" s="4">
        <v>87.3</v>
      </c>
      <c r="J304" s="4">
        <v>4.39</v>
      </c>
      <c r="K304" s="4">
        <v>1</v>
      </c>
      <c r="L304" s="4">
        <v>4.7</v>
      </c>
      <c r="M304" s="4">
        <v>730890.01</v>
      </c>
      <c r="N304" s="4">
        <v>105502.56</v>
      </c>
      <c r="O304">
        <f t="shared" si="13"/>
        <v>0</v>
      </c>
      <c r="P304">
        <f t="shared" si="14"/>
        <v>1</v>
      </c>
      <c r="Q304">
        <f t="shared" si="15"/>
        <v>0</v>
      </c>
    </row>
    <row r="305" spans="1:17">
      <c r="A305" s="4" t="s">
        <v>97</v>
      </c>
      <c r="B305" s="7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</v>
      </c>
      <c r="H305" s="4">
        <v>18</v>
      </c>
      <c r="I305" s="4">
        <v>93</v>
      </c>
      <c r="J305" s="4">
        <v>2.79</v>
      </c>
      <c r="K305" s="4">
        <v>0</v>
      </c>
      <c r="L305" s="4">
        <v>4.2</v>
      </c>
      <c r="M305" s="4">
        <v>780580.95</v>
      </c>
      <c r="N305" s="4">
        <v>138144.46</v>
      </c>
      <c r="O305">
        <f t="shared" si="13"/>
        <v>0</v>
      </c>
      <c r="P305">
        <f t="shared" si="14"/>
        <v>1</v>
      </c>
      <c r="Q305">
        <f t="shared" si="15"/>
        <v>0</v>
      </c>
    </row>
    <row r="306" spans="1:17">
      <c r="A306" s="4" t="s">
        <v>98</v>
      </c>
      <c r="B306" s="7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 s="4">
        <v>4</v>
      </c>
      <c r="M306" s="4">
        <v>727957.48</v>
      </c>
      <c r="N306" s="4">
        <v>74805.23</v>
      </c>
      <c r="O306">
        <f t="shared" si="13"/>
        <v>0</v>
      </c>
      <c r="P306">
        <f t="shared" si="14"/>
        <v>0</v>
      </c>
      <c r="Q306">
        <f t="shared" si="15"/>
        <v>1</v>
      </c>
    </row>
    <row r="307" spans="1:17">
      <c r="A307" s="4" t="s">
        <v>98</v>
      </c>
      <c r="B307" s="7">
        <v>45689</v>
      </c>
      <c r="C307" s="4" t="s">
        <v>24</v>
      </c>
      <c r="D307" s="4" t="s">
        <v>16</v>
      </c>
      <c r="E307" s="4">
        <v>46146.24</v>
      </c>
      <c r="F307" s="4">
        <v>5804</v>
      </c>
      <c r="G307" s="4">
        <v>0.047</v>
      </c>
      <c r="H307" s="4">
        <v>16</v>
      </c>
      <c r="I307" s="4">
        <v>86.9</v>
      </c>
      <c r="J307" s="4">
        <v>15.82</v>
      </c>
      <c r="K307" s="4">
        <v>0</v>
      </c>
      <c r="L307" s="4">
        <v>3.8</v>
      </c>
      <c r="M307" s="4">
        <v>538376</v>
      </c>
      <c r="N307" s="4">
        <v>87605.62</v>
      </c>
      <c r="O307">
        <f t="shared" si="13"/>
        <v>0</v>
      </c>
      <c r="P307">
        <f t="shared" si="14"/>
        <v>0</v>
      </c>
      <c r="Q307">
        <f t="shared" si="15"/>
        <v>1</v>
      </c>
    </row>
    <row r="308" spans="1:17">
      <c r="A308" s="4" t="s">
        <v>98</v>
      </c>
      <c r="B308" s="7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0.146</v>
      </c>
      <c r="H308" s="4">
        <v>14</v>
      </c>
      <c r="I308" s="4">
        <v>85.9</v>
      </c>
      <c r="J308" s="4">
        <v>1.17</v>
      </c>
      <c r="K308" s="4">
        <v>1</v>
      </c>
      <c r="L308" s="4">
        <v>3.7</v>
      </c>
      <c r="M308" s="4">
        <v>665342.49</v>
      </c>
      <c r="N308" s="4">
        <v>93441.81</v>
      </c>
      <c r="O308">
        <f t="shared" si="13"/>
        <v>0</v>
      </c>
      <c r="P308">
        <f t="shared" si="14"/>
        <v>0</v>
      </c>
      <c r="Q308">
        <f t="shared" si="15"/>
        <v>1</v>
      </c>
    </row>
    <row r="309" spans="1:17">
      <c r="A309" s="4" t="s">
        <v>98</v>
      </c>
      <c r="B309" s="7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0.075</v>
      </c>
      <c r="H309" s="4">
        <v>16</v>
      </c>
      <c r="I309" s="4">
        <v>99</v>
      </c>
      <c r="J309" s="4">
        <v>3.82</v>
      </c>
      <c r="K309" s="4">
        <v>0</v>
      </c>
      <c r="L309" s="4">
        <v>3.5</v>
      </c>
      <c r="M309" s="4">
        <v>651164.18</v>
      </c>
      <c r="N309" s="4">
        <v>109466.5</v>
      </c>
      <c r="O309">
        <f t="shared" si="13"/>
        <v>0</v>
      </c>
      <c r="P309">
        <f t="shared" si="14"/>
        <v>0</v>
      </c>
      <c r="Q309">
        <f t="shared" si="15"/>
        <v>1</v>
      </c>
    </row>
    <row r="310" spans="1:17">
      <c r="A310" s="4" t="s">
        <v>99</v>
      </c>
      <c r="B310" s="7">
        <v>45658</v>
      </c>
      <c r="C310" s="4" t="s">
        <v>24</v>
      </c>
      <c r="D310" s="4" t="s">
        <v>18</v>
      </c>
      <c r="E310" s="4">
        <v>48465.6</v>
      </c>
      <c r="F310" s="4">
        <v>5759</v>
      </c>
      <c r="G310" s="4">
        <v>0.154</v>
      </c>
      <c r="H310" s="4">
        <v>13</v>
      </c>
      <c r="I310" s="4">
        <v>87.5</v>
      </c>
      <c r="J310" s="4">
        <v>4.14</v>
      </c>
      <c r="K310" s="4">
        <v>0</v>
      </c>
      <c r="L310" s="4">
        <v>4</v>
      </c>
      <c r="M310" s="4">
        <v>628538.3</v>
      </c>
      <c r="N310" s="4">
        <v>112509.15</v>
      </c>
      <c r="O310">
        <f t="shared" si="13"/>
        <v>0</v>
      </c>
      <c r="P310">
        <f t="shared" si="14"/>
        <v>0</v>
      </c>
      <c r="Q310">
        <f t="shared" si="15"/>
        <v>1</v>
      </c>
    </row>
    <row r="311" spans="1:17">
      <c r="A311" s="4" t="s">
        <v>99</v>
      </c>
      <c r="B311" s="7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</v>
      </c>
      <c r="H311" s="4">
        <v>14</v>
      </c>
      <c r="I311" s="4">
        <v>79.7</v>
      </c>
      <c r="J311" s="4">
        <v>1.1</v>
      </c>
      <c r="K311" s="4">
        <v>0</v>
      </c>
      <c r="L311" s="4">
        <v>4.3</v>
      </c>
      <c r="M311" s="4">
        <v>536524.84</v>
      </c>
      <c r="N311" s="4">
        <v>92752.94</v>
      </c>
      <c r="O311">
        <f t="shared" si="13"/>
        <v>0</v>
      </c>
      <c r="P311">
        <f t="shared" si="14"/>
        <v>0</v>
      </c>
      <c r="Q311">
        <f t="shared" si="15"/>
        <v>1</v>
      </c>
    </row>
    <row r="312" spans="1:17">
      <c r="A312" s="4" t="s">
        <v>99</v>
      </c>
      <c r="B312" s="7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 s="4">
        <v>4.2</v>
      </c>
      <c r="M312" s="4">
        <v>621677.3</v>
      </c>
      <c r="N312" s="4">
        <v>105192.52</v>
      </c>
      <c r="O312">
        <f t="shared" si="13"/>
        <v>0</v>
      </c>
      <c r="P312">
        <f t="shared" si="14"/>
        <v>0</v>
      </c>
      <c r="Q312">
        <f t="shared" si="15"/>
        <v>1</v>
      </c>
    </row>
    <row r="313" spans="1:17">
      <c r="A313" s="4" t="s">
        <v>99</v>
      </c>
      <c r="B313" s="7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0.142</v>
      </c>
      <c r="H313" s="4">
        <v>20</v>
      </c>
      <c r="I313" s="4">
        <v>89</v>
      </c>
      <c r="J313" s="4">
        <v>0.9</v>
      </c>
      <c r="K313" s="4">
        <v>0</v>
      </c>
      <c r="L313" s="4"/>
      <c r="M313" s="4">
        <v>771129.07</v>
      </c>
      <c r="N313" s="4">
        <v>116851.13</v>
      </c>
      <c r="O313">
        <f t="shared" si="13"/>
        <v>0</v>
      </c>
      <c r="P313">
        <f t="shared" si="14"/>
        <v>0</v>
      </c>
      <c r="Q313">
        <f t="shared" si="15"/>
        <v>1</v>
      </c>
    </row>
    <row r="314" spans="1:17">
      <c r="A314" s="4" t="s">
        <v>100</v>
      </c>
      <c r="B314" s="7">
        <v>45658</v>
      </c>
      <c r="C314" s="4" t="s">
        <v>20</v>
      </c>
      <c r="D314" s="4" t="s">
        <v>16</v>
      </c>
      <c r="E314" s="4">
        <v>78967.52</v>
      </c>
      <c r="F314" s="4">
        <v>6164</v>
      </c>
      <c r="G314" s="4">
        <v>0.021</v>
      </c>
      <c r="H314" s="4">
        <v>16</v>
      </c>
      <c r="I314" s="4">
        <v>85.5</v>
      </c>
      <c r="J314" s="4">
        <v>0.2</v>
      </c>
      <c r="K314" s="4">
        <v>0</v>
      </c>
      <c r="L314" s="4">
        <v>3.4</v>
      </c>
      <c r="M314" s="4">
        <v>702052.47</v>
      </c>
      <c r="N314" s="4">
        <v>121732.51</v>
      </c>
      <c r="O314">
        <f t="shared" si="13"/>
        <v>0</v>
      </c>
      <c r="P314">
        <f t="shared" si="14"/>
        <v>1</v>
      </c>
      <c r="Q314">
        <f t="shared" si="15"/>
        <v>0</v>
      </c>
    </row>
    <row r="315" spans="1:17">
      <c r="A315" s="4" t="s">
        <v>100</v>
      </c>
      <c r="B315" s="7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 s="4"/>
      <c r="M315" s="4">
        <v>688368.46</v>
      </c>
      <c r="N315" s="4">
        <v>93588.42</v>
      </c>
      <c r="O315">
        <f t="shared" si="13"/>
        <v>0</v>
      </c>
      <c r="P315">
        <f t="shared" si="14"/>
        <v>1</v>
      </c>
      <c r="Q315">
        <f t="shared" si="15"/>
        <v>0</v>
      </c>
    </row>
    <row r="316" spans="1:17">
      <c r="A316" s="4" t="s">
        <v>100</v>
      </c>
      <c r="B316" s="7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0.091</v>
      </c>
      <c r="H316" s="4">
        <v>14</v>
      </c>
      <c r="I316" s="4">
        <v>98.2</v>
      </c>
      <c r="J316" s="4">
        <v>4.38</v>
      </c>
      <c r="K316" s="4">
        <v>1</v>
      </c>
      <c r="L316" s="4">
        <v>3.9</v>
      </c>
      <c r="M316" s="4">
        <v>712375.77</v>
      </c>
      <c r="N316" s="4">
        <v>104171.53</v>
      </c>
      <c r="O316">
        <f t="shared" si="13"/>
        <v>0</v>
      </c>
      <c r="P316">
        <f t="shared" si="14"/>
        <v>1</v>
      </c>
      <c r="Q316">
        <f t="shared" si="15"/>
        <v>0</v>
      </c>
    </row>
    <row r="317" spans="1:17">
      <c r="A317" s="4" t="s">
        <v>100</v>
      </c>
      <c r="B317" s="7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</v>
      </c>
      <c r="K317" s="4">
        <v>0</v>
      </c>
      <c r="L317" s="4">
        <v>4.2</v>
      </c>
      <c r="M317" s="4">
        <v>844710.67</v>
      </c>
      <c r="N317" s="4">
        <v>137140.18</v>
      </c>
      <c r="O317">
        <f t="shared" si="13"/>
        <v>0</v>
      </c>
      <c r="P317">
        <f t="shared" si="14"/>
        <v>1</v>
      </c>
      <c r="Q317">
        <f t="shared" si="15"/>
        <v>0</v>
      </c>
    </row>
    <row r="318" spans="1:17">
      <c r="A318" s="4" t="s">
        <v>101</v>
      </c>
      <c r="B318" s="7">
        <v>45658</v>
      </c>
      <c r="C318" s="4" t="s">
        <v>15</v>
      </c>
      <c r="D318" s="4" t="s">
        <v>16</v>
      </c>
      <c r="E318" s="4">
        <v>76614.32</v>
      </c>
      <c r="F318" s="4">
        <v>5639</v>
      </c>
      <c r="G318" s="4">
        <v>0.174</v>
      </c>
      <c r="H318" s="4">
        <v>15</v>
      </c>
      <c r="I318" s="4">
        <v>92.9</v>
      </c>
      <c r="J318" s="4">
        <v>1.02</v>
      </c>
      <c r="K318" s="4">
        <v>1</v>
      </c>
      <c r="L318" s="4">
        <v>4</v>
      </c>
      <c r="M318" s="4">
        <v>620264.2</v>
      </c>
      <c r="N318" s="4">
        <v>91365.64</v>
      </c>
      <c r="O318">
        <f t="shared" si="13"/>
        <v>1</v>
      </c>
      <c r="P318">
        <f t="shared" si="14"/>
        <v>0</v>
      </c>
      <c r="Q318">
        <f t="shared" si="15"/>
        <v>0</v>
      </c>
    </row>
    <row r="319" spans="1:17">
      <c r="A319" s="4" t="s">
        <v>101</v>
      </c>
      <c r="B319" s="7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 s="4">
        <v>3.8</v>
      </c>
      <c r="M319" s="4">
        <v>536845.42</v>
      </c>
      <c r="N319" s="4">
        <v>107473.75</v>
      </c>
      <c r="O319">
        <f t="shared" si="13"/>
        <v>1</v>
      </c>
      <c r="P319">
        <f t="shared" si="14"/>
        <v>0</v>
      </c>
      <c r="Q319">
        <f t="shared" si="15"/>
        <v>0</v>
      </c>
    </row>
    <row r="320" spans="1:17">
      <c r="A320" s="4" t="s">
        <v>101</v>
      </c>
      <c r="B320" s="7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4.89</v>
      </c>
      <c r="K320" s="4">
        <v>1</v>
      </c>
      <c r="L320" s="4">
        <v>4.2</v>
      </c>
      <c r="M320" s="4">
        <v>726776.22</v>
      </c>
      <c r="N320" s="4">
        <v>90804.49</v>
      </c>
      <c r="O320">
        <f t="shared" si="13"/>
        <v>1</v>
      </c>
      <c r="P320">
        <f t="shared" si="14"/>
        <v>0</v>
      </c>
      <c r="Q320">
        <f t="shared" si="15"/>
        <v>0</v>
      </c>
    </row>
    <row r="321" spans="1:17">
      <c r="A321" s="4" t="s">
        <v>101</v>
      </c>
      <c r="B321" s="7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</v>
      </c>
      <c r="H321" s="4">
        <v>17</v>
      </c>
      <c r="I321" s="4">
        <v>84.3</v>
      </c>
      <c r="J321" s="4">
        <v>11.82</v>
      </c>
      <c r="K321" s="4">
        <v>0</v>
      </c>
      <c r="L321" s="4">
        <v>4.1</v>
      </c>
      <c r="M321" s="4">
        <v>559660.84</v>
      </c>
      <c r="N321" s="4">
        <v>71443.61</v>
      </c>
      <c r="O321">
        <f t="shared" si="13"/>
        <v>1</v>
      </c>
      <c r="P321">
        <f t="shared" si="14"/>
        <v>0</v>
      </c>
      <c r="Q321">
        <f t="shared" si="15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21"/>
  <sheetViews>
    <sheetView topLeftCell="F1" workbookViewId="0">
      <selection activeCell="K4" sqref="K4"/>
    </sheetView>
  </sheetViews>
  <sheetFormatPr defaultColWidth="9" defaultRowHeight="14.25"/>
  <cols>
    <col min="2" max="2" width="14.75" customWidth="1"/>
    <col min="3" max="3" width="19.75" customWidth="1"/>
    <col min="4" max="4" width="26.5" customWidth="1"/>
    <col min="5" max="5" width="15.375" customWidth="1"/>
    <col min="7" max="7" width="20.625" customWidth="1"/>
    <col min="8" max="9" width="16" customWidth="1"/>
    <col min="11" max="11" width="12.625"/>
  </cols>
  <sheetData>
    <row r="1" ht="30" spans="2:11">
      <c r="B1" s="1" t="s">
        <v>4</v>
      </c>
      <c r="C1" s="1" t="s">
        <v>12</v>
      </c>
      <c r="G1" s="3"/>
      <c r="H1" s="1" t="s">
        <v>5</v>
      </c>
      <c r="I1" s="1" t="s">
        <v>12</v>
      </c>
    </row>
    <row r="2" spans="2:11">
      <c r="B2" s="4">
        <v>70389.11</v>
      </c>
      <c r="C2" s="4">
        <v>658832.62</v>
      </c>
      <c r="D2" t="s">
        <v>105</v>
      </c>
      <c r="E2" cm="1">
        <f t="array" ref="E2">SLOPE(C2:C322,B2:B322)</f>
        <v>2.12957532758986</v>
      </c>
      <c r="H2" s="4">
        <v>8302</v>
      </c>
      <c r="I2" s="4">
        <v>658832.62</v>
      </c>
      <c r="J2" t="s">
        <v>106</v>
      </c>
      <c r="K2" cm="1">
        <f t="array" ref="K2">SLOPE(I2:I322,H2:H322)</f>
        <v>35.6780310726402</v>
      </c>
    </row>
    <row r="3" spans="2:11">
      <c r="B3" s="4">
        <v>43827.89</v>
      </c>
      <c r="C3" s="4">
        <v>634436</v>
      </c>
      <c r="D3" t="s">
        <v>107</v>
      </c>
      <c r="E3" cm="1">
        <f t="array" ref="E3">INTERCEPT(C2:C322,B2:B322)</f>
        <v>560777.345449437</v>
      </c>
      <c r="H3" s="4">
        <v>8487</v>
      </c>
      <c r="I3" s="4">
        <v>634436</v>
      </c>
      <c r="J3" t="s">
        <v>108</v>
      </c>
      <c r="K3" cm="1">
        <f t="array" ref="K3">INTERCEPT(I2:I322,H2:H322)</f>
        <v>446410.582933953</v>
      </c>
    </row>
    <row r="4" spans="2:11">
      <c r="B4" s="4">
        <v>59921.75</v>
      </c>
      <c r="C4" s="4">
        <v>678722.06</v>
      </c>
      <c r="D4" s="5" t="s">
        <v>109</v>
      </c>
      <c r="E4" cm="1">
        <f t="array" ref="E4">RSQ(C2:C322,B2:B322)</f>
        <v>0.167244691124873</v>
      </c>
      <c r="H4" s="4">
        <v>9113</v>
      </c>
      <c r="I4" s="4">
        <v>678722.06</v>
      </c>
      <c r="J4" t="s">
        <v>110</v>
      </c>
      <c r="K4" cm="1">
        <f t="array" ref="K4">RSQ(I2:I322,H2:H322)</f>
        <v>0.736285340003297</v>
      </c>
    </row>
    <row r="5" spans="2:11">
      <c r="B5" s="4">
        <v>56856.63</v>
      </c>
      <c r="C5" s="4">
        <v>658920.3</v>
      </c>
      <c r="H5" s="4">
        <v>9431</v>
      </c>
      <c r="I5" s="4">
        <v>658920.3</v>
      </c>
    </row>
    <row r="6" spans="2:11">
      <c r="B6" s="4">
        <v>48412.64</v>
      </c>
      <c r="C6" s="4">
        <v>741341.44</v>
      </c>
      <c r="D6" s="6" t="s">
        <v>111</v>
      </c>
      <c r="E6" s="6" t="s">
        <v>112</v>
      </c>
      <c r="H6" s="4">
        <v>9545</v>
      </c>
      <c r="I6" s="4">
        <v>741341.44</v>
      </c>
    </row>
    <row r="7" spans="2:11">
      <c r="B7" s="4">
        <v>64811.21</v>
      </c>
      <c r="C7" s="4">
        <v>761835.34</v>
      </c>
      <c r="D7" s="6" t="s">
        <v>113</v>
      </c>
      <c r="E7" s="6" t="s">
        <v>114</v>
      </c>
      <c r="H7" s="4">
        <v>9792</v>
      </c>
      <c r="I7" s="4">
        <v>761835.34</v>
      </c>
    </row>
    <row r="8" spans="2:11">
      <c r="B8" s="4">
        <v>46213.45</v>
      </c>
      <c r="C8" s="4">
        <v>806615.54</v>
      </c>
      <c r="D8" s="6" t="s">
        <v>115</v>
      </c>
      <c r="E8" s="6">
        <v>2.129575328</v>
      </c>
      <c r="H8" s="4">
        <v>10616</v>
      </c>
      <c r="I8" s="4">
        <v>806615.54</v>
      </c>
    </row>
    <row r="9" spans="2:11">
      <c r="B9" s="4">
        <v>68148.52</v>
      </c>
      <c r="C9" s="4">
        <v>850164.26</v>
      </c>
      <c r="D9" s="6" t="s">
        <v>108</v>
      </c>
      <c r="E9" s="6">
        <v>560777.3454</v>
      </c>
      <c r="H9" s="4">
        <v>8567</v>
      </c>
      <c r="I9" s="4">
        <v>850164.26</v>
      </c>
    </row>
    <row r="10" spans="2:11">
      <c r="B10" s="4">
        <v>71838.86</v>
      </c>
      <c r="C10" s="4">
        <v>930581.7</v>
      </c>
      <c r="D10" s="6" t="s">
        <v>110</v>
      </c>
      <c r="E10" s="6">
        <v>0.167244691</v>
      </c>
      <c r="H10" s="4">
        <v>10979</v>
      </c>
      <c r="I10" s="4">
        <v>930581.7</v>
      </c>
    </row>
    <row r="11" spans="2:11">
      <c r="B11" s="4">
        <v>68133.44</v>
      </c>
      <c r="C11" s="4">
        <v>779010.94</v>
      </c>
      <c r="H11" s="4">
        <v>9459</v>
      </c>
      <c r="I11" s="4">
        <v>779010.94</v>
      </c>
    </row>
    <row r="12" spans="2:11">
      <c r="B12" s="4">
        <v>34285.21</v>
      </c>
      <c r="C12" s="4">
        <v>723060.76</v>
      </c>
      <c r="H12" s="4">
        <v>9172</v>
      </c>
      <c r="I12" s="4">
        <v>723060.76</v>
      </c>
    </row>
    <row r="13" spans="2:11">
      <c r="B13" s="4">
        <v>67979.88</v>
      </c>
      <c r="C13" s="4">
        <v>910791.94</v>
      </c>
      <c r="H13" s="4">
        <v>11230</v>
      </c>
      <c r="I13" s="4">
        <v>910791.94</v>
      </c>
    </row>
    <row r="14" spans="2:11">
      <c r="B14" s="4">
        <v>71828.26</v>
      </c>
      <c r="C14" s="4">
        <v>922168.6</v>
      </c>
      <c r="H14" s="4">
        <v>12775</v>
      </c>
      <c r="I14" s="4">
        <v>922168.6</v>
      </c>
    </row>
    <row r="15" spans="2:11">
      <c r="B15" s="4">
        <v>55716.82</v>
      </c>
      <c r="C15" s="4">
        <v>726606.28</v>
      </c>
      <c r="H15" s="4">
        <v>10054</v>
      </c>
      <c r="I15" s="4">
        <v>726606.28</v>
      </c>
    </row>
    <row r="16" spans="2:11">
      <c r="B16" s="4">
        <v>59909.51</v>
      </c>
      <c r="C16" s="4">
        <v>746501.09</v>
      </c>
      <c r="H16" s="4">
        <v>8895</v>
      </c>
      <c r="I16" s="4">
        <v>746501.09</v>
      </c>
    </row>
    <row r="17" spans="2:9">
      <c r="B17" s="4">
        <v>75305.71</v>
      </c>
      <c r="C17" s="4">
        <v>834017.02</v>
      </c>
      <c r="H17" s="4">
        <v>10940</v>
      </c>
      <c r="I17" s="4">
        <v>834017.02</v>
      </c>
    </row>
    <row r="18" spans="2:9">
      <c r="B18" s="4">
        <v>48804.22</v>
      </c>
      <c r="C18" s="4">
        <v>666152.52</v>
      </c>
      <c r="H18" s="4">
        <v>7057</v>
      </c>
      <c r="I18" s="4">
        <v>666152.52</v>
      </c>
    </row>
    <row r="19" spans="2:9">
      <c r="B19" s="4">
        <v>59117.9</v>
      </c>
      <c r="C19" s="4">
        <v>573155.19</v>
      </c>
      <c r="H19" s="4">
        <v>4263</v>
      </c>
      <c r="I19" s="4">
        <v>573155.19</v>
      </c>
    </row>
    <row r="20" spans="2:9">
      <c r="B20" s="4">
        <v>78831.12</v>
      </c>
      <c r="C20" s="4">
        <v>666573.2</v>
      </c>
      <c r="H20" s="4">
        <v>5538</v>
      </c>
      <c r="I20" s="4">
        <v>666573.2</v>
      </c>
    </row>
    <row r="21" spans="2:9">
      <c r="B21" s="4">
        <v>41441.93</v>
      </c>
      <c r="C21" s="4">
        <v>591619.95</v>
      </c>
      <c r="H21" s="4">
        <v>4865</v>
      </c>
      <c r="I21" s="4">
        <v>591619.95</v>
      </c>
    </row>
    <row r="22" spans="2:9">
      <c r="B22" s="4">
        <v>30356.28</v>
      </c>
      <c r="C22" s="4">
        <v>415721.82</v>
      </c>
      <c r="H22" s="4">
        <v>2822</v>
      </c>
      <c r="I22" s="4">
        <v>415721.82</v>
      </c>
    </row>
    <row r="23" spans="2:9">
      <c r="B23" s="4">
        <v>33518.88</v>
      </c>
      <c r="C23" s="4">
        <v>491905.13</v>
      </c>
      <c r="H23" s="4">
        <v>2121</v>
      </c>
      <c r="I23" s="4">
        <v>491905.13</v>
      </c>
    </row>
    <row r="24" spans="2:9">
      <c r="B24" s="4">
        <v>42267.37</v>
      </c>
      <c r="C24" s="4">
        <v>555929.4</v>
      </c>
      <c r="H24" s="4">
        <v>3364</v>
      </c>
      <c r="I24" s="4">
        <v>555929.4</v>
      </c>
    </row>
    <row r="25" spans="2:9">
      <c r="B25" s="4">
        <v>62060.43</v>
      </c>
      <c r="C25" s="4">
        <v>565810.99</v>
      </c>
      <c r="H25" s="4">
        <v>2613</v>
      </c>
      <c r="I25" s="4">
        <v>565810.99</v>
      </c>
    </row>
    <row r="26" spans="2:9">
      <c r="B26" s="4">
        <v>57696.69</v>
      </c>
      <c r="C26" s="4">
        <v>811771.14</v>
      </c>
      <c r="H26" s="4">
        <v>10218</v>
      </c>
      <c r="I26" s="4">
        <v>811771.14</v>
      </c>
    </row>
    <row r="27" spans="2:9">
      <c r="B27" s="4">
        <v>172415.52</v>
      </c>
      <c r="C27" s="4">
        <v>800451.94</v>
      </c>
      <c r="H27" s="4">
        <v>8927</v>
      </c>
      <c r="I27" s="4">
        <v>800451.94</v>
      </c>
    </row>
    <row r="28" spans="2:9">
      <c r="B28" s="4">
        <v>55270.52</v>
      </c>
      <c r="C28" s="4">
        <v>783672.82</v>
      </c>
      <c r="H28" s="4">
        <v>9315</v>
      </c>
      <c r="I28" s="4">
        <v>783672.82</v>
      </c>
    </row>
    <row r="29" spans="2:9">
      <c r="B29" s="4">
        <v>52715.1</v>
      </c>
      <c r="C29" s="4">
        <v>701641.97</v>
      </c>
      <c r="H29" s="4">
        <v>7223</v>
      </c>
      <c r="I29" s="4">
        <v>701641.97</v>
      </c>
    </row>
    <row r="30" spans="2:9">
      <c r="B30" s="4">
        <v>68600.62</v>
      </c>
      <c r="C30" s="4">
        <v>511844.41</v>
      </c>
      <c r="H30" s="4">
        <v>3988</v>
      </c>
      <c r="I30" s="4">
        <v>511844.41</v>
      </c>
    </row>
    <row r="31" spans="2:9">
      <c r="B31" s="4">
        <v>63176.73</v>
      </c>
      <c r="C31" s="4">
        <v>537383.79</v>
      </c>
      <c r="H31" s="4">
        <v>2390</v>
      </c>
      <c r="I31" s="4">
        <v>537383.79</v>
      </c>
    </row>
    <row r="32" spans="2:9">
      <c r="B32" s="4">
        <v>44970.08</v>
      </c>
      <c r="C32" s="4">
        <v>500173.02</v>
      </c>
      <c r="H32" s="4">
        <v>2471</v>
      </c>
      <c r="I32" s="4">
        <v>500173.02</v>
      </c>
    </row>
    <row r="33" spans="2:9">
      <c r="B33" s="4">
        <v>69816.35</v>
      </c>
      <c r="C33" s="4">
        <v>427917.38</v>
      </c>
      <c r="H33" s="4">
        <v>971</v>
      </c>
      <c r="I33" s="4">
        <v>427917.38</v>
      </c>
    </row>
    <row r="34" spans="2:9">
      <c r="B34" s="4">
        <v>54597.83</v>
      </c>
      <c r="C34" s="4">
        <v>641865.03</v>
      </c>
      <c r="H34" s="4">
        <v>9429</v>
      </c>
      <c r="I34" s="4">
        <v>641865.03</v>
      </c>
    </row>
    <row r="35" spans="2:9">
      <c r="B35" s="4">
        <v>73771.91</v>
      </c>
      <c r="C35" s="4">
        <v>799477.76</v>
      </c>
      <c r="H35" s="4">
        <v>11695</v>
      </c>
      <c r="I35" s="4">
        <v>799477.76</v>
      </c>
    </row>
    <row r="36" spans="2:9">
      <c r="B36" s="4">
        <v>74413.88</v>
      </c>
      <c r="C36" s="4">
        <v>798952.17</v>
      </c>
      <c r="H36" s="4">
        <v>9449</v>
      </c>
      <c r="I36" s="4">
        <v>798952.17</v>
      </c>
    </row>
    <row r="37" spans="2:9">
      <c r="B37" s="4">
        <v>52483.77</v>
      </c>
      <c r="C37" s="4">
        <v>800979.78</v>
      </c>
      <c r="H37" s="4">
        <v>10453</v>
      </c>
      <c r="I37" s="4">
        <v>800979.78</v>
      </c>
    </row>
    <row r="38" spans="2:9">
      <c r="B38" s="4">
        <v>75269.87</v>
      </c>
      <c r="C38" s="4">
        <v>820593.93</v>
      </c>
      <c r="H38" s="4">
        <v>8838</v>
      </c>
      <c r="I38" s="4">
        <v>820593.93</v>
      </c>
    </row>
    <row r="39" spans="2:9">
      <c r="B39" s="4">
        <v>61245.41</v>
      </c>
      <c r="C39" s="4">
        <v>718330.53</v>
      </c>
      <c r="H39" s="4">
        <v>8156</v>
      </c>
      <c r="I39" s="4">
        <v>718330.53</v>
      </c>
    </row>
    <row r="40" spans="2:9">
      <c r="B40" s="4">
        <v>93381.26</v>
      </c>
      <c r="C40" s="4">
        <v>736633.4</v>
      </c>
      <c r="H40" s="4">
        <v>7562</v>
      </c>
      <c r="I40" s="4">
        <v>736633.4</v>
      </c>
    </row>
    <row r="41" spans="2:9">
      <c r="B41" s="4">
        <v>65012.19</v>
      </c>
      <c r="C41" s="4">
        <v>828623.85</v>
      </c>
      <c r="H41" s="4">
        <v>9598</v>
      </c>
      <c r="I41" s="4">
        <v>828623.85</v>
      </c>
    </row>
    <row r="42" spans="2:9">
      <c r="B42" s="4">
        <v>40462.94</v>
      </c>
      <c r="C42" s="4">
        <v>592195.85</v>
      </c>
      <c r="H42" s="4">
        <v>3660</v>
      </c>
      <c r="I42" s="4">
        <v>592195.85</v>
      </c>
    </row>
    <row r="43" spans="2:9">
      <c r="B43" s="4">
        <v>46123.88</v>
      </c>
      <c r="C43" s="4">
        <v>532644.46</v>
      </c>
      <c r="H43" s="4">
        <v>3227</v>
      </c>
      <c r="I43" s="4">
        <v>532644.46</v>
      </c>
    </row>
    <row r="44" spans="2:9">
      <c r="B44" s="4">
        <v>68077.54</v>
      </c>
      <c r="C44" s="4">
        <v>657429.18</v>
      </c>
      <c r="H44" s="4">
        <v>3360</v>
      </c>
      <c r="I44" s="4">
        <v>657429.18</v>
      </c>
    </row>
    <row r="45" spans="2:9">
      <c r="B45" s="4">
        <v>64882.14</v>
      </c>
      <c r="C45" s="4">
        <v>605178</v>
      </c>
      <c r="H45" s="4">
        <v>3642</v>
      </c>
      <c r="I45" s="4">
        <v>605178</v>
      </c>
    </row>
    <row r="46" spans="2:9">
      <c r="B46" s="4">
        <v>138855.51</v>
      </c>
      <c r="C46" s="4">
        <v>595467.6</v>
      </c>
      <c r="H46" s="4">
        <v>5145</v>
      </c>
      <c r="I46" s="4">
        <v>595467.6</v>
      </c>
    </row>
    <row r="47" spans="2:9">
      <c r="B47" s="4">
        <v>63630.21</v>
      </c>
      <c r="C47" s="4">
        <v>599603.4</v>
      </c>
      <c r="H47" s="4">
        <v>4460</v>
      </c>
      <c r="I47" s="4">
        <v>599603.4</v>
      </c>
    </row>
    <row r="48" spans="2:9">
      <c r="B48" s="4">
        <v>50043.65</v>
      </c>
      <c r="C48" s="4">
        <v>614800.09</v>
      </c>
      <c r="H48" s="4">
        <v>3804</v>
      </c>
      <c r="I48" s="4">
        <v>614800.09</v>
      </c>
    </row>
    <row r="49" spans="2:9">
      <c r="B49" s="4">
        <v>42093.84</v>
      </c>
      <c r="C49" s="4">
        <v>585365.73</v>
      </c>
      <c r="H49" s="4">
        <v>4074</v>
      </c>
      <c r="I49" s="4">
        <v>585365.73</v>
      </c>
    </row>
    <row r="50" spans="2:9">
      <c r="B50" s="4">
        <v>46624.05</v>
      </c>
      <c r="C50" s="4">
        <v>622811.74</v>
      </c>
      <c r="H50" s="4">
        <v>5104</v>
      </c>
      <c r="I50" s="4">
        <v>622811.74</v>
      </c>
    </row>
    <row r="51" spans="2:9">
      <c r="B51" s="4">
        <v>49710.29</v>
      </c>
      <c r="C51" s="4">
        <v>603297.57</v>
      </c>
      <c r="H51" s="4">
        <v>5559</v>
      </c>
      <c r="I51" s="4">
        <v>603297.57</v>
      </c>
    </row>
    <row r="52" spans="2:9">
      <c r="B52" s="4">
        <v>48287.85</v>
      </c>
      <c r="C52" s="4">
        <v>625672.86</v>
      </c>
      <c r="H52" s="4">
        <v>5150</v>
      </c>
      <c r="I52" s="4">
        <v>625672.86</v>
      </c>
    </row>
    <row r="53" spans="2:9">
      <c r="B53" s="4">
        <v>65312.49</v>
      </c>
      <c r="C53" s="4">
        <v>773815.14</v>
      </c>
      <c r="H53" s="4">
        <v>7189</v>
      </c>
      <c r="I53" s="4">
        <v>773815.14</v>
      </c>
    </row>
    <row r="54" spans="2:9">
      <c r="B54" s="4">
        <v>53015.46</v>
      </c>
      <c r="C54" s="4">
        <v>463534.25</v>
      </c>
      <c r="H54" s="4">
        <v>3279</v>
      </c>
      <c r="I54" s="4">
        <v>463534.25</v>
      </c>
    </row>
    <row r="55" spans="2:9">
      <c r="B55" s="4">
        <v>99874.01</v>
      </c>
      <c r="C55" s="4">
        <v>746677.75</v>
      </c>
      <c r="H55" s="4">
        <v>5887</v>
      </c>
      <c r="I55" s="4">
        <v>746677.75</v>
      </c>
    </row>
    <row r="56" spans="2:9">
      <c r="B56" s="4">
        <v>81195.5</v>
      </c>
      <c r="C56" s="4">
        <v>720852.5</v>
      </c>
      <c r="H56" s="4">
        <v>5516</v>
      </c>
      <c r="I56" s="4">
        <v>720852.5</v>
      </c>
    </row>
    <row r="57" spans="2:9">
      <c r="B57" s="4">
        <v>27808.6</v>
      </c>
      <c r="C57" s="4">
        <v>487464.91</v>
      </c>
      <c r="H57" s="4">
        <v>2863</v>
      </c>
      <c r="I57" s="4">
        <v>487464.91</v>
      </c>
    </row>
    <row r="58" spans="2:9">
      <c r="B58" s="4">
        <v>19365.06</v>
      </c>
      <c r="C58" s="4">
        <v>518049.26</v>
      </c>
      <c r="H58" s="4">
        <v>2378</v>
      </c>
      <c r="I58" s="4">
        <v>518049.26</v>
      </c>
    </row>
    <row r="59" spans="2:9">
      <c r="B59" s="4">
        <v>59405.68</v>
      </c>
      <c r="C59" s="4">
        <v>500298.48</v>
      </c>
      <c r="H59" s="4">
        <v>2515</v>
      </c>
      <c r="I59" s="4">
        <v>500298.48</v>
      </c>
    </row>
    <row r="60" spans="2:9">
      <c r="B60" s="4">
        <v>118910.48</v>
      </c>
      <c r="C60" s="4">
        <v>617291.15</v>
      </c>
      <c r="H60" s="4">
        <v>4022</v>
      </c>
      <c r="I60" s="4">
        <v>617291.15</v>
      </c>
    </row>
    <row r="61" spans="2:9">
      <c r="B61" s="4">
        <v>52952.12</v>
      </c>
      <c r="C61" s="4">
        <v>553756.43</v>
      </c>
      <c r="H61" s="4">
        <v>4377</v>
      </c>
      <c r="I61" s="4">
        <v>553756.43</v>
      </c>
    </row>
    <row r="62" spans="2:9">
      <c r="B62" s="4">
        <v>74907.98</v>
      </c>
      <c r="C62" s="4">
        <v>749559.71</v>
      </c>
      <c r="H62" s="4">
        <v>5306</v>
      </c>
      <c r="I62" s="4">
        <v>749559.71</v>
      </c>
    </row>
    <row r="63" spans="2:9">
      <c r="B63" s="4">
        <v>37284.66</v>
      </c>
      <c r="C63" s="4">
        <v>615966.48</v>
      </c>
      <c r="H63" s="4">
        <v>3928</v>
      </c>
      <c r="I63" s="4">
        <v>615966.48</v>
      </c>
    </row>
    <row r="64" spans="2:9">
      <c r="B64" s="4">
        <v>50343.19</v>
      </c>
      <c r="C64" s="4">
        <v>572011.2</v>
      </c>
      <c r="H64" s="4">
        <v>3845</v>
      </c>
      <c r="I64" s="4">
        <v>572011.2</v>
      </c>
    </row>
    <row r="65" spans="2:9">
      <c r="B65" s="4">
        <v>74954.47</v>
      </c>
      <c r="C65" s="4">
        <v>761860.19</v>
      </c>
      <c r="H65" s="4">
        <v>6620</v>
      </c>
      <c r="I65" s="4">
        <v>761860.19</v>
      </c>
    </row>
    <row r="66" spans="2:9">
      <c r="B66" s="4">
        <v>70040.31</v>
      </c>
      <c r="C66" s="4">
        <v>784502.68</v>
      </c>
      <c r="H66" s="4">
        <v>9175</v>
      </c>
      <c r="I66" s="4">
        <v>784502.68</v>
      </c>
    </row>
    <row r="67" spans="2:9">
      <c r="B67" s="4">
        <v>51148.69</v>
      </c>
      <c r="C67" s="4">
        <v>717141.55</v>
      </c>
      <c r="H67" s="4">
        <v>7940</v>
      </c>
      <c r="I67" s="4">
        <v>717141.55</v>
      </c>
    </row>
    <row r="68" spans="2:9">
      <c r="B68" s="4">
        <v>79346.1</v>
      </c>
      <c r="C68" s="4">
        <v>685379.08</v>
      </c>
      <c r="H68" s="4">
        <v>9628</v>
      </c>
      <c r="I68" s="4">
        <v>685379.08</v>
      </c>
    </row>
    <row r="69" spans="2:9">
      <c r="B69" s="4">
        <v>42018.4</v>
      </c>
      <c r="C69" s="4">
        <v>740496.65</v>
      </c>
      <c r="H69" s="4">
        <v>8296</v>
      </c>
      <c r="I69" s="4">
        <v>740496.65</v>
      </c>
    </row>
    <row r="70" spans="2:9">
      <c r="B70" s="4">
        <v>70937.24</v>
      </c>
      <c r="C70" s="4">
        <v>661927.14</v>
      </c>
      <c r="H70" s="4">
        <v>3595</v>
      </c>
      <c r="I70" s="4">
        <v>661927.14</v>
      </c>
    </row>
    <row r="71" spans="2:9">
      <c r="B71" s="4">
        <v>36813.45</v>
      </c>
      <c r="C71" s="4">
        <v>479050.5</v>
      </c>
      <c r="H71" s="4">
        <v>2834</v>
      </c>
      <c r="I71" s="4">
        <v>479050.5</v>
      </c>
    </row>
    <row r="72" spans="2:9">
      <c r="B72" s="4">
        <v>60571.82</v>
      </c>
      <c r="C72" s="4">
        <v>605023.87</v>
      </c>
      <c r="H72" s="4">
        <v>3193</v>
      </c>
      <c r="I72" s="4">
        <v>605023.87</v>
      </c>
    </row>
    <row r="73" spans="2:9">
      <c r="B73" s="4">
        <v>55081.16</v>
      </c>
      <c r="C73" s="4">
        <v>674774.09</v>
      </c>
      <c r="H73" s="4">
        <v>5485</v>
      </c>
      <c r="I73" s="4">
        <v>674774.09</v>
      </c>
    </row>
    <row r="74" spans="2:9">
      <c r="B74" s="4">
        <v>46201.46</v>
      </c>
      <c r="C74" s="4">
        <v>616069.41</v>
      </c>
      <c r="H74" s="4">
        <v>5918</v>
      </c>
      <c r="I74" s="4">
        <v>616069.41</v>
      </c>
    </row>
    <row r="75" spans="2:9">
      <c r="B75" s="4">
        <v>53762.92</v>
      </c>
      <c r="C75" s="4">
        <v>630829.94</v>
      </c>
      <c r="H75" s="4">
        <v>6821</v>
      </c>
      <c r="I75" s="4">
        <v>630829.94</v>
      </c>
    </row>
    <row r="76" spans="2:9">
      <c r="B76" s="4">
        <v>70144.78</v>
      </c>
      <c r="C76" s="4">
        <v>788087.68</v>
      </c>
      <c r="H76" s="4">
        <v>6806</v>
      </c>
      <c r="I76" s="4">
        <v>788087.68</v>
      </c>
    </row>
    <row r="77" spans="2:9">
      <c r="B77" s="4">
        <v>58749.63</v>
      </c>
      <c r="C77" s="4">
        <v>680840.36</v>
      </c>
      <c r="H77" s="4">
        <v>8252</v>
      </c>
      <c r="I77" s="4">
        <v>680840.36</v>
      </c>
    </row>
    <row r="78" spans="2:9">
      <c r="B78" s="4">
        <v>56973.18</v>
      </c>
      <c r="C78" s="4">
        <v>643657.47</v>
      </c>
      <c r="H78" s="4">
        <v>6662</v>
      </c>
      <c r="I78" s="4">
        <v>643657.47</v>
      </c>
    </row>
    <row r="79" spans="2:9">
      <c r="B79" s="4">
        <v>54872.82</v>
      </c>
      <c r="C79" s="4">
        <v>691112.6</v>
      </c>
      <c r="H79" s="4">
        <v>5962</v>
      </c>
      <c r="I79" s="4">
        <v>691112.6</v>
      </c>
    </row>
    <row r="80" spans="2:9">
      <c r="B80" s="4">
        <v>80562.81</v>
      </c>
      <c r="C80" s="4">
        <v>776922.17</v>
      </c>
      <c r="H80" s="4">
        <v>7470</v>
      </c>
      <c r="I80" s="4">
        <v>776922.17</v>
      </c>
    </row>
    <row r="81" spans="2:9">
      <c r="B81" s="4">
        <v>77999.9</v>
      </c>
      <c r="C81" s="4">
        <v>636561.34</v>
      </c>
      <c r="H81" s="4">
        <v>5974</v>
      </c>
      <c r="I81" s="4">
        <v>636561.34</v>
      </c>
    </row>
    <row r="82" spans="2:9">
      <c r="B82" s="4">
        <v>60881.01</v>
      </c>
      <c r="C82" s="4">
        <v>621369.58</v>
      </c>
      <c r="H82" s="4">
        <v>5410</v>
      </c>
      <c r="I82" s="4">
        <v>621369.58</v>
      </c>
    </row>
    <row r="83" spans="2:9">
      <c r="B83" s="4">
        <v>60628.38</v>
      </c>
      <c r="C83" s="4">
        <v>682208.01</v>
      </c>
      <c r="H83" s="4">
        <v>4451</v>
      </c>
      <c r="I83" s="4">
        <v>682208.01</v>
      </c>
    </row>
    <row r="84" spans="2:9">
      <c r="B84" s="4">
        <v>72731.14</v>
      </c>
      <c r="C84" s="4">
        <v>727241.86</v>
      </c>
      <c r="H84" s="4">
        <v>4644</v>
      </c>
      <c r="I84" s="4">
        <v>727241.86</v>
      </c>
    </row>
    <row r="85" spans="2:9">
      <c r="B85" s="4">
        <v>36475.71</v>
      </c>
      <c r="C85" s="4">
        <v>569100.78</v>
      </c>
      <c r="H85" s="4">
        <v>3559</v>
      </c>
      <c r="I85" s="4">
        <v>569100.78</v>
      </c>
    </row>
    <row r="86" spans="2:9">
      <c r="B86" s="4">
        <v>55388.11</v>
      </c>
      <c r="C86" s="4">
        <v>574436.29</v>
      </c>
      <c r="H86" s="4">
        <v>3091</v>
      </c>
      <c r="I86" s="4">
        <v>574436.29</v>
      </c>
    </row>
    <row r="87" spans="2:9">
      <c r="B87" s="4">
        <v>88443.77</v>
      </c>
      <c r="C87" s="4">
        <v>611766.72</v>
      </c>
      <c r="H87" s="4">
        <v>4004</v>
      </c>
      <c r="I87" s="4">
        <v>611766.72</v>
      </c>
    </row>
    <row r="88" spans="2:9">
      <c r="B88" s="4">
        <v>78231.91</v>
      </c>
      <c r="C88" s="4">
        <v>614596.32</v>
      </c>
      <c r="H88" s="4">
        <v>3788</v>
      </c>
      <c r="I88" s="4">
        <v>614596.32</v>
      </c>
    </row>
    <row r="89" spans="2:9">
      <c r="B89" s="4">
        <v>18996.32</v>
      </c>
      <c r="C89" s="4">
        <v>450711.92</v>
      </c>
      <c r="H89" s="4">
        <v>1260</v>
      </c>
      <c r="I89" s="4">
        <v>450711.92</v>
      </c>
    </row>
    <row r="90" spans="2:9">
      <c r="B90" s="4">
        <v>50517.94</v>
      </c>
      <c r="C90" s="4">
        <v>711213.46</v>
      </c>
      <c r="H90" s="4">
        <v>7024</v>
      </c>
      <c r="I90" s="4">
        <v>711213.46</v>
      </c>
    </row>
    <row r="91" spans="2:9">
      <c r="B91" s="4">
        <v>141540.29</v>
      </c>
      <c r="C91" s="4">
        <v>627171.9</v>
      </c>
      <c r="H91" s="4">
        <v>5400</v>
      </c>
      <c r="I91" s="4">
        <v>627171.9</v>
      </c>
    </row>
    <row r="92" spans="2:9">
      <c r="B92" s="4">
        <v>82116.19</v>
      </c>
      <c r="C92" s="4">
        <v>739852.58</v>
      </c>
      <c r="H92" s="4">
        <v>5988</v>
      </c>
      <c r="I92" s="4">
        <v>739852.58</v>
      </c>
    </row>
    <row r="93" spans="2:9">
      <c r="B93" s="4">
        <v>31207.51</v>
      </c>
      <c r="C93" s="4">
        <v>586307.22</v>
      </c>
      <c r="H93" s="4">
        <v>3701</v>
      </c>
      <c r="I93" s="4">
        <v>586307.22</v>
      </c>
    </row>
    <row r="94" spans="2:9">
      <c r="B94" s="4">
        <v>38966.59</v>
      </c>
      <c r="C94" s="4">
        <v>585937.48</v>
      </c>
      <c r="H94" s="4">
        <v>4509</v>
      </c>
      <c r="I94" s="4">
        <v>585937.48</v>
      </c>
    </row>
    <row r="95" spans="2:9">
      <c r="B95" s="4">
        <v>67439.3</v>
      </c>
      <c r="C95" s="4">
        <v>753473.55</v>
      </c>
      <c r="H95" s="4">
        <v>6477</v>
      </c>
      <c r="I95" s="4">
        <v>753473.55</v>
      </c>
    </row>
    <row r="96" spans="2:9">
      <c r="B96" s="4">
        <v>86421.88</v>
      </c>
      <c r="C96" s="4">
        <v>838250.32</v>
      </c>
      <c r="H96" s="4">
        <v>7970</v>
      </c>
      <c r="I96" s="4">
        <v>838250.32</v>
      </c>
    </row>
    <row r="97" spans="2:9">
      <c r="B97" s="4">
        <v>9534.65</v>
      </c>
      <c r="C97" s="4">
        <v>607898.12</v>
      </c>
      <c r="H97" s="4">
        <v>6057</v>
      </c>
      <c r="I97" s="4">
        <v>607898.12</v>
      </c>
    </row>
    <row r="98" spans="2:9">
      <c r="B98" s="4">
        <v>61132.07</v>
      </c>
      <c r="C98" s="4">
        <v>691113.62</v>
      </c>
      <c r="H98" s="4">
        <v>6394</v>
      </c>
      <c r="I98" s="4">
        <v>691113.62</v>
      </c>
    </row>
    <row r="99" spans="2:9">
      <c r="B99" s="4">
        <v>78839.39</v>
      </c>
      <c r="C99" s="4">
        <v>735509.4</v>
      </c>
      <c r="H99" s="4">
        <v>5150</v>
      </c>
      <c r="I99" s="4">
        <v>735509.4</v>
      </c>
    </row>
    <row r="100" spans="2:9">
      <c r="B100" s="4">
        <v>38752.8</v>
      </c>
      <c r="C100" s="4">
        <v>605775.33</v>
      </c>
      <c r="H100" s="4">
        <v>4712</v>
      </c>
      <c r="I100" s="4">
        <v>605775.33</v>
      </c>
    </row>
    <row r="101" spans="2:9">
      <c r="B101" s="4">
        <v>55101.1</v>
      </c>
      <c r="C101" s="4">
        <v>675177.68</v>
      </c>
      <c r="H101" s="4">
        <v>5281</v>
      </c>
      <c r="I101" s="4">
        <v>675177.68</v>
      </c>
    </row>
    <row r="102" spans="2:9">
      <c r="B102" s="4">
        <v>53084.76</v>
      </c>
      <c r="C102" s="4">
        <v>635181.35</v>
      </c>
      <c r="H102" s="4">
        <v>3642</v>
      </c>
      <c r="I102" s="4">
        <v>635181.35</v>
      </c>
    </row>
    <row r="103" spans="2:9">
      <c r="B103" s="4">
        <v>63101.59</v>
      </c>
      <c r="C103" s="4">
        <v>586626.94</v>
      </c>
      <c r="H103" s="4">
        <v>4373</v>
      </c>
      <c r="I103" s="4">
        <v>586626.94</v>
      </c>
    </row>
    <row r="104" spans="2:9">
      <c r="B104" s="4">
        <v>90084.4</v>
      </c>
      <c r="C104" s="4">
        <v>740102.64</v>
      </c>
      <c r="H104" s="4">
        <v>6832</v>
      </c>
      <c r="I104" s="4">
        <v>740102.64</v>
      </c>
    </row>
    <row r="105" spans="2:9">
      <c r="B105" s="4">
        <v>32266.64</v>
      </c>
      <c r="C105" s="4">
        <v>625514.04</v>
      </c>
      <c r="H105" s="4">
        <v>2414</v>
      </c>
      <c r="I105" s="4">
        <v>625514.04</v>
      </c>
    </row>
    <row r="106" spans="2:9">
      <c r="B106" s="4">
        <v>57919.07</v>
      </c>
      <c r="C106" s="4">
        <v>727227.2</v>
      </c>
      <c r="H106" s="4">
        <v>7374</v>
      </c>
      <c r="I106" s="4">
        <v>727227.2</v>
      </c>
    </row>
    <row r="107" spans="2:9">
      <c r="B107" s="4">
        <v>74679.35</v>
      </c>
      <c r="C107" s="4">
        <v>783797.89</v>
      </c>
      <c r="H107" s="4">
        <v>8739</v>
      </c>
      <c r="I107" s="4">
        <v>783797.89</v>
      </c>
    </row>
    <row r="108" spans="2:9">
      <c r="B108" s="4">
        <v>64294.23</v>
      </c>
      <c r="C108" s="4">
        <v>795153.84</v>
      </c>
      <c r="H108" s="4">
        <v>6992</v>
      </c>
      <c r="I108" s="4">
        <v>795153.84</v>
      </c>
    </row>
    <row r="109" spans="2:9">
      <c r="B109" s="4">
        <v>31042.03</v>
      </c>
      <c r="C109" s="4">
        <v>665594.94</v>
      </c>
      <c r="H109" s="4">
        <v>7107</v>
      </c>
      <c r="I109" s="4">
        <v>665594.94</v>
      </c>
    </row>
    <row r="110" spans="2:9">
      <c r="B110" s="4">
        <v>75265.02</v>
      </c>
      <c r="C110" s="4">
        <v>709478.39</v>
      </c>
      <c r="H110" s="4">
        <v>6975</v>
      </c>
      <c r="I110" s="4">
        <v>709478.39</v>
      </c>
    </row>
    <row r="111" spans="2:9">
      <c r="B111" s="4">
        <v>69411.7</v>
      </c>
      <c r="C111" s="4">
        <v>664162.49</v>
      </c>
      <c r="H111" s="4">
        <v>5493</v>
      </c>
      <c r="I111" s="4">
        <v>664162.49</v>
      </c>
    </row>
    <row r="112" spans="2:9">
      <c r="B112" s="4">
        <v>51056.15</v>
      </c>
      <c r="C112" s="4">
        <v>633494.21</v>
      </c>
      <c r="H112" s="4">
        <v>5686</v>
      </c>
      <c r="I112" s="4">
        <v>633494.21</v>
      </c>
    </row>
    <row r="113" spans="2:9">
      <c r="B113" s="4">
        <v>52758.01</v>
      </c>
      <c r="C113" s="4">
        <v>713611.16</v>
      </c>
      <c r="H113" s="4">
        <v>4063</v>
      </c>
      <c r="I113" s="4">
        <v>713611.16</v>
      </c>
    </row>
    <row r="114" spans="2:9">
      <c r="B114" s="4">
        <v>61426.04</v>
      </c>
      <c r="C114" s="4">
        <v>778397.97</v>
      </c>
      <c r="H114" s="4">
        <v>8966</v>
      </c>
      <c r="I114" s="4">
        <v>778397.97</v>
      </c>
    </row>
    <row r="115" spans="2:9">
      <c r="B115" s="4">
        <v>80176.34</v>
      </c>
      <c r="C115" s="4">
        <v>873380.02</v>
      </c>
      <c r="H115" s="4">
        <v>9489</v>
      </c>
      <c r="I115" s="4">
        <v>873380.02</v>
      </c>
    </row>
    <row r="116" spans="2:9">
      <c r="B116" s="4">
        <v>33605.18</v>
      </c>
      <c r="C116" s="4">
        <v>697287.9</v>
      </c>
      <c r="H116" s="4">
        <v>9225</v>
      </c>
      <c r="I116" s="4">
        <v>697287.9</v>
      </c>
    </row>
    <row r="117" spans="2:9">
      <c r="B117" s="4">
        <v>25990.54</v>
      </c>
      <c r="C117" s="4">
        <v>718074.79</v>
      </c>
      <c r="H117" s="4">
        <v>9249</v>
      </c>
      <c r="I117" s="4">
        <v>718074.79</v>
      </c>
    </row>
    <row r="118" spans="2:9">
      <c r="B118" s="4">
        <v>43685.14</v>
      </c>
      <c r="C118" s="4">
        <v>714942.43</v>
      </c>
      <c r="H118" s="4">
        <v>7821</v>
      </c>
      <c r="I118" s="4">
        <v>714942.43</v>
      </c>
    </row>
    <row r="119" spans="2:9">
      <c r="B119" s="4">
        <v>57360.01</v>
      </c>
      <c r="C119" s="4">
        <v>820519.04</v>
      </c>
      <c r="H119" s="4">
        <v>8434</v>
      </c>
      <c r="I119" s="4">
        <v>820519.04</v>
      </c>
    </row>
    <row r="120" spans="2:9">
      <c r="B120" s="4">
        <v>42415.47</v>
      </c>
      <c r="C120" s="4">
        <v>684217.32</v>
      </c>
      <c r="H120" s="4">
        <v>8512</v>
      </c>
      <c r="I120" s="4">
        <v>684217.32</v>
      </c>
    </row>
    <row r="121" spans="2:9">
      <c r="B121" s="4">
        <v>54968.98</v>
      </c>
      <c r="C121" s="4">
        <v>735480.19</v>
      </c>
      <c r="H121" s="4">
        <v>7816</v>
      </c>
      <c r="I121" s="4">
        <v>735480.19</v>
      </c>
    </row>
    <row r="122" spans="2:9">
      <c r="B122" s="4">
        <v>43896.13</v>
      </c>
      <c r="C122" s="4">
        <v>509484.81</v>
      </c>
      <c r="H122" s="4">
        <v>3853</v>
      </c>
      <c r="I122" s="4">
        <v>509484.81</v>
      </c>
    </row>
    <row r="123" spans="2:9">
      <c r="B123" s="4">
        <v>83044.17</v>
      </c>
      <c r="C123" s="4">
        <v>654317.09</v>
      </c>
      <c r="H123" s="4">
        <v>3694</v>
      </c>
      <c r="I123" s="4">
        <v>654317.09</v>
      </c>
    </row>
    <row r="124" spans="2:9">
      <c r="B124" s="4">
        <v>48396.13</v>
      </c>
      <c r="C124" s="4">
        <v>557487.26</v>
      </c>
      <c r="H124" s="4">
        <v>4423</v>
      </c>
      <c r="I124" s="4">
        <v>557487.26</v>
      </c>
    </row>
    <row r="125" spans="2:9">
      <c r="B125" s="4">
        <v>19063.48</v>
      </c>
      <c r="C125" s="4">
        <v>441275.42</v>
      </c>
      <c r="H125" s="4">
        <v>1906</v>
      </c>
      <c r="I125" s="4">
        <v>441275.42</v>
      </c>
    </row>
    <row r="126" spans="2:9">
      <c r="B126" s="4">
        <v>61541.21</v>
      </c>
      <c r="C126" s="4">
        <v>914544.17</v>
      </c>
      <c r="H126" s="4">
        <v>10396</v>
      </c>
      <c r="I126" s="4">
        <v>914544.17</v>
      </c>
    </row>
    <row r="127" spans="2:9">
      <c r="B127" s="4">
        <v>44747</v>
      </c>
      <c r="C127" s="4">
        <v>842439.67</v>
      </c>
      <c r="H127" s="4">
        <v>11076</v>
      </c>
      <c r="I127" s="4">
        <v>842439.67</v>
      </c>
    </row>
    <row r="128" spans="2:9">
      <c r="B128" s="4">
        <v>56517.9</v>
      </c>
      <c r="C128" s="4">
        <v>842157.92</v>
      </c>
      <c r="H128" s="4">
        <v>9574</v>
      </c>
      <c r="I128" s="4">
        <v>842157.92</v>
      </c>
    </row>
    <row r="129" spans="2:9">
      <c r="B129" s="4">
        <v>37828.5</v>
      </c>
      <c r="C129" s="4">
        <v>697155.3</v>
      </c>
      <c r="H129" s="4">
        <v>8221</v>
      </c>
      <c r="I129" s="4">
        <v>697155.3</v>
      </c>
    </row>
    <row r="130" spans="2:9">
      <c r="B130" s="4">
        <v>66250.53</v>
      </c>
      <c r="C130" s="4">
        <v>849018.3</v>
      </c>
      <c r="H130" s="4">
        <v>10618</v>
      </c>
      <c r="I130" s="4">
        <v>849018.3</v>
      </c>
    </row>
    <row r="131" spans="2:9">
      <c r="B131" s="4">
        <v>68410.93</v>
      </c>
      <c r="C131" s="4">
        <v>801830.35</v>
      </c>
      <c r="H131" s="4">
        <v>10596</v>
      </c>
      <c r="I131" s="4">
        <v>801830.35</v>
      </c>
    </row>
    <row r="132" spans="2:9">
      <c r="B132" s="4">
        <v>50735.63</v>
      </c>
      <c r="C132" s="4">
        <v>725235.28</v>
      </c>
      <c r="H132" s="4">
        <v>9619</v>
      </c>
      <c r="I132" s="4">
        <v>725235.28</v>
      </c>
    </row>
    <row r="133" spans="2:9">
      <c r="B133" s="4">
        <v>66455.8</v>
      </c>
      <c r="C133" s="4">
        <v>811452.72</v>
      </c>
      <c r="H133" s="4">
        <v>10836</v>
      </c>
      <c r="I133" s="4">
        <v>811452.72</v>
      </c>
    </row>
    <row r="134" spans="2:9">
      <c r="B134" s="4">
        <v>70276.28</v>
      </c>
      <c r="C134" s="4">
        <v>527300.13</v>
      </c>
      <c r="H134" s="4">
        <v>3043</v>
      </c>
      <c r="I134" s="4">
        <v>527300.13</v>
      </c>
    </row>
    <row r="135" spans="2:9">
      <c r="B135" s="4">
        <v>22071.64</v>
      </c>
      <c r="C135" s="4">
        <v>400831.65</v>
      </c>
      <c r="H135" s="4">
        <v>1814</v>
      </c>
      <c r="I135" s="4">
        <v>400831.65</v>
      </c>
    </row>
    <row r="136" spans="2:9">
      <c r="B136" s="4">
        <v>52285.45</v>
      </c>
      <c r="C136" s="4">
        <v>593247.25</v>
      </c>
      <c r="H136" s="4">
        <v>3618</v>
      </c>
      <c r="I136" s="4">
        <v>593247.25</v>
      </c>
    </row>
    <row r="137" spans="2:9">
      <c r="B137" s="4">
        <v>70366.76</v>
      </c>
      <c r="C137" s="4">
        <v>529075.95</v>
      </c>
      <c r="H137" s="4">
        <v>1963</v>
      </c>
      <c r="I137" s="4">
        <v>529075.95</v>
      </c>
    </row>
    <row r="138" spans="2:9">
      <c r="B138" s="4">
        <v>71320.66</v>
      </c>
      <c r="C138" s="4">
        <v>633638.03</v>
      </c>
      <c r="H138" s="4">
        <v>7888</v>
      </c>
      <c r="I138" s="4">
        <v>633638.03</v>
      </c>
    </row>
    <row r="139" spans="2:9">
      <c r="B139" s="4">
        <v>75109.67</v>
      </c>
      <c r="C139" s="4">
        <v>743348.84</v>
      </c>
      <c r="H139" s="4">
        <v>6244</v>
      </c>
      <c r="I139" s="4">
        <v>743348.84</v>
      </c>
    </row>
    <row r="140" spans="2:9">
      <c r="B140" s="4">
        <v>69779</v>
      </c>
      <c r="C140" s="4">
        <v>758827.64</v>
      </c>
      <c r="H140" s="4">
        <v>6544</v>
      </c>
      <c r="I140" s="4">
        <v>758827.64</v>
      </c>
    </row>
    <row r="141" spans="2:9">
      <c r="B141" s="4">
        <v>44211.95</v>
      </c>
      <c r="C141" s="4">
        <v>646559.71</v>
      </c>
      <c r="H141" s="4">
        <v>5465</v>
      </c>
      <c r="I141" s="4">
        <v>646559.71</v>
      </c>
    </row>
    <row r="142" spans="2:9">
      <c r="B142" s="4">
        <v>51430.31</v>
      </c>
      <c r="C142" s="4">
        <v>715890.53</v>
      </c>
      <c r="H142" s="4">
        <v>6427</v>
      </c>
      <c r="I142" s="4">
        <v>715890.53</v>
      </c>
    </row>
    <row r="143" spans="2:9">
      <c r="B143" s="4">
        <v>45706.49</v>
      </c>
      <c r="C143" s="4">
        <v>715097.57</v>
      </c>
      <c r="H143" s="4">
        <v>6704</v>
      </c>
      <c r="I143" s="4">
        <v>715097.57</v>
      </c>
    </row>
    <row r="144" spans="2:9">
      <c r="B144" s="4">
        <v>44034.6</v>
      </c>
      <c r="C144" s="4">
        <v>682639.28</v>
      </c>
      <c r="H144" s="4">
        <v>5645</v>
      </c>
      <c r="I144" s="4">
        <v>682639.28</v>
      </c>
    </row>
    <row r="145" spans="2:9">
      <c r="B145" s="4">
        <v>50198.12</v>
      </c>
      <c r="C145" s="4">
        <v>695098.51</v>
      </c>
      <c r="H145" s="4">
        <v>6089</v>
      </c>
      <c r="I145" s="4">
        <v>695098.51</v>
      </c>
    </row>
    <row r="146" spans="2:9">
      <c r="B146" s="4">
        <v>70488.2</v>
      </c>
      <c r="C146" s="4">
        <v>577732.57</v>
      </c>
      <c r="H146" s="4">
        <v>4312</v>
      </c>
      <c r="I146" s="4">
        <v>577732.57</v>
      </c>
    </row>
    <row r="147" spans="2:9">
      <c r="B147" s="4">
        <v>50909.27</v>
      </c>
      <c r="C147" s="4">
        <v>537058.33</v>
      </c>
      <c r="H147" s="4">
        <v>3152</v>
      </c>
      <c r="I147" s="4">
        <v>537058.33</v>
      </c>
    </row>
    <row r="148" spans="2:9">
      <c r="B148" s="4">
        <v>53351.7</v>
      </c>
      <c r="C148" s="4">
        <v>601568.87</v>
      </c>
      <c r="H148" s="4">
        <v>4259</v>
      </c>
      <c r="I148" s="4">
        <v>601568.87</v>
      </c>
    </row>
    <row r="149" spans="2:9">
      <c r="B149" s="4">
        <v>60322.4</v>
      </c>
      <c r="C149" s="4">
        <v>570964.84</v>
      </c>
      <c r="H149" s="4">
        <v>3350</v>
      </c>
      <c r="I149" s="4">
        <v>570964.84</v>
      </c>
    </row>
    <row r="150" spans="2:9">
      <c r="B150" s="4">
        <v>51575.68</v>
      </c>
      <c r="C150" s="4">
        <v>614024.91</v>
      </c>
      <c r="H150" s="4">
        <v>5329</v>
      </c>
      <c r="I150" s="4">
        <v>614024.91</v>
      </c>
    </row>
    <row r="151" spans="2:9">
      <c r="B151" s="4">
        <v>43319.94</v>
      </c>
      <c r="C151" s="4">
        <v>712868.35</v>
      </c>
      <c r="H151" s="4">
        <v>6551</v>
      </c>
      <c r="I151" s="4">
        <v>712868.35</v>
      </c>
    </row>
    <row r="152" spans="2:9">
      <c r="B152" s="4">
        <v>47093.55</v>
      </c>
      <c r="C152" s="4">
        <v>696744.15</v>
      </c>
      <c r="H152" s="4">
        <v>5550</v>
      </c>
      <c r="I152" s="4">
        <v>696744.15</v>
      </c>
    </row>
    <row r="153" spans="2:9">
      <c r="B153" s="4">
        <v>71855.09</v>
      </c>
      <c r="C153" s="4">
        <v>725847.99</v>
      </c>
      <c r="H153" s="4">
        <v>5911</v>
      </c>
      <c r="I153" s="4">
        <v>725847.99</v>
      </c>
    </row>
    <row r="154" spans="2:9">
      <c r="B154" s="4">
        <v>75645.23</v>
      </c>
      <c r="C154" s="4">
        <v>785028.25</v>
      </c>
      <c r="H154" s="4">
        <v>9674</v>
      </c>
      <c r="I154" s="4">
        <v>785028.25</v>
      </c>
    </row>
    <row r="155" spans="2:9">
      <c r="B155" s="4">
        <v>64374.75</v>
      </c>
      <c r="C155" s="4">
        <v>698492.67</v>
      </c>
      <c r="H155" s="4">
        <v>6740</v>
      </c>
      <c r="I155" s="4">
        <v>698492.67</v>
      </c>
    </row>
    <row r="156" spans="2:9">
      <c r="B156" s="4">
        <v>61433.84</v>
      </c>
      <c r="C156" s="4">
        <v>685830.24</v>
      </c>
      <c r="H156" s="4">
        <v>7745</v>
      </c>
      <c r="I156" s="4">
        <v>685830.24</v>
      </c>
    </row>
    <row r="157" spans="2:9">
      <c r="B157" s="4">
        <v>42698.14</v>
      </c>
      <c r="C157" s="4">
        <v>702318.94</v>
      </c>
      <c r="H157" s="4">
        <v>7693</v>
      </c>
      <c r="I157" s="4">
        <v>702318.94</v>
      </c>
    </row>
    <row r="158" spans="2:9">
      <c r="B158" s="4">
        <v>86883.31</v>
      </c>
      <c r="C158" s="4">
        <v>700078.32</v>
      </c>
      <c r="H158" s="4">
        <v>6424</v>
      </c>
      <c r="I158" s="4">
        <v>700078.32</v>
      </c>
    </row>
    <row r="159" spans="2:9">
      <c r="B159" s="4">
        <v>41863.08</v>
      </c>
      <c r="C159" s="4">
        <v>602002.32</v>
      </c>
      <c r="H159" s="4">
        <v>5400</v>
      </c>
      <c r="I159" s="4">
        <v>602002.32</v>
      </c>
    </row>
    <row r="160" spans="2:9">
      <c r="B160" s="4">
        <v>56918.16</v>
      </c>
      <c r="C160" s="4">
        <v>724216.07</v>
      </c>
      <c r="H160" s="4">
        <v>7015</v>
      </c>
      <c r="I160" s="4">
        <v>724216.07</v>
      </c>
    </row>
    <row r="161" spans="2:9">
      <c r="B161" s="4">
        <v>23254.57</v>
      </c>
      <c r="C161" s="4">
        <v>620973.03</v>
      </c>
      <c r="H161" s="4">
        <v>3847</v>
      </c>
      <c r="I161" s="4">
        <v>620973.03</v>
      </c>
    </row>
    <row r="162" spans="2:9">
      <c r="B162" s="4">
        <v>41443.41</v>
      </c>
      <c r="C162" s="4">
        <v>650480.06</v>
      </c>
      <c r="H162" s="4">
        <v>7455</v>
      </c>
      <c r="I162" s="4">
        <v>650480.06</v>
      </c>
    </row>
    <row r="163" spans="2:9">
      <c r="B163" s="4">
        <v>48438.85</v>
      </c>
      <c r="C163" s="4">
        <v>778298.88</v>
      </c>
      <c r="H163" s="4">
        <v>6992</v>
      </c>
      <c r="I163" s="4">
        <v>778298.88</v>
      </c>
    </row>
    <row r="164" spans="2:9">
      <c r="B164" s="4">
        <v>57143.3</v>
      </c>
      <c r="C164" s="4">
        <v>677096.71</v>
      </c>
      <c r="H164" s="4">
        <v>8038</v>
      </c>
      <c r="I164" s="4">
        <v>677096.71</v>
      </c>
    </row>
    <row r="165" spans="2:9">
      <c r="B165" s="4">
        <v>66870.62</v>
      </c>
      <c r="C165" s="4">
        <v>692008.64</v>
      </c>
      <c r="H165" s="4">
        <v>6055</v>
      </c>
      <c r="I165" s="4">
        <v>692008.64</v>
      </c>
    </row>
    <row r="166" spans="2:9">
      <c r="B166" s="4">
        <v>72150.53</v>
      </c>
      <c r="C166" s="4">
        <v>825797.91</v>
      </c>
      <c r="H166" s="4">
        <v>9323</v>
      </c>
      <c r="I166" s="4">
        <v>825797.91</v>
      </c>
    </row>
    <row r="167" spans="2:9">
      <c r="B167" s="4">
        <v>35303.3</v>
      </c>
      <c r="C167" s="4">
        <v>706285.52</v>
      </c>
      <c r="H167" s="4">
        <v>8789</v>
      </c>
      <c r="I167" s="4">
        <v>706285.52</v>
      </c>
    </row>
    <row r="168" spans="2:9">
      <c r="B168" s="4">
        <v>30301.86</v>
      </c>
      <c r="C168" s="4">
        <v>665534.7</v>
      </c>
      <c r="H168" s="4">
        <v>6939</v>
      </c>
      <c r="I168" s="4">
        <v>665534.7</v>
      </c>
    </row>
    <row r="169" spans="2:9">
      <c r="B169" s="4">
        <v>78432.14</v>
      </c>
      <c r="C169" s="4">
        <v>820729.29</v>
      </c>
      <c r="H169" s="4">
        <v>9440</v>
      </c>
      <c r="I169" s="4">
        <v>820729.29</v>
      </c>
    </row>
    <row r="170" spans="2:9">
      <c r="B170" s="4">
        <v>62059.18</v>
      </c>
      <c r="C170" s="4">
        <v>739831.73</v>
      </c>
      <c r="H170" s="4">
        <v>9374</v>
      </c>
      <c r="I170" s="4">
        <v>739831.73</v>
      </c>
    </row>
    <row r="171" spans="2:9">
      <c r="B171" s="4">
        <v>32834.48</v>
      </c>
      <c r="C171" s="4">
        <v>593637.14</v>
      </c>
      <c r="H171" s="4">
        <v>7576</v>
      </c>
      <c r="I171" s="4">
        <v>593637.14</v>
      </c>
    </row>
    <row r="172" spans="2:9">
      <c r="B172" s="4">
        <v>50825.08</v>
      </c>
      <c r="C172" s="4">
        <v>769702.76</v>
      </c>
      <c r="H172" s="4">
        <v>8949</v>
      </c>
      <c r="I172" s="4">
        <v>769702.76</v>
      </c>
    </row>
    <row r="173" spans="2:9">
      <c r="B173" s="4">
        <v>36606.51</v>
      </c>
      <c r="C173" s="4">
        <v>679731.57</v>
      </c>
      <c r="H173" s="4">
        <v>7671</v>
      </c>
      <c r="I173" s="4">
        <v>679731.57</v>
      </c>
    </row>
    <row r="174" spans="2:9">
      <c r="B174" s="4">
        <v>65237.79</v>
      </c>
      <c r="C174" s="4">
        <v>780344.18</v>
      </c>
      <c r="H174" s="4">
        <v>8741</v>
      </c>
      <c r="I174" s="4">
        <v>780344.18</v>
      </c>
    </row>
    <row r="175" spans="2:9">
      <c r="B175" s="4">
        <v>43645.98</v>
      </c>
      <c r="C175" s="4">
        <v>721364.11</v>
      </c>
      <c r="H175" s="4">
        <v>9480</v>
      </c>
      <c r="I175" s="4">
        <v>721364.11</v>
      </c>
    </row>
    <row r="176" spans="2:9">
      <c r="B176" s="4">
        <v>68040.15</v>
      </c>
      <c r="C176" s="4">
        <v>758138.29</v>
      </c>
      <c r="H176" s="4">
        <v>9826</v>
      </c>
      <c r="I176" s="4">
        <v>758138.29</v>
      </c>
    </row>
    <row r="177" spans="2:9">
      <c r="B177" s="4">
        <v>63043.94</v>
      </c>
      <c r="C177" s="4">
        <v>804264</v>
      </c>
      <c r="H177" s="4">
        <v>10402</v>
      </c>
      <c r="I177" s="4">
        <v>804264</v>
      </c>
    </row>
    <row r="178" spans="2:9">
      <c r="B178" s="4">
        <v>67494.09</v>
      </c>
      <c r="C178" s="4">
        <v>887537.75</v>
      </c>
      <c r="H178" s="4">
        <v>12361</v>
      </c>
      <c r="I178" s="4">
        <v>887537.75</v>
      </c>
    </row>
    <row r="179" spans="2:9">
      <c r="B179" s="4">
        <v>29389.32</v>
      </c>
      <c r="C179" s="4">
        <v>783582</v>
      </c>
      <c r="H179" s="4">
        <v>7925</v>
      </c>
      <c r="I179" s="4">
        <v>783582</v>
      </c>
    </row>
    <row r="180" spans="2:9">
      <c r="B180" s="4">
        <v>40535.09</v>
      </c>
      <c r="C180" s="4">
        <v>781955.52</v>
      </c>
      <c r="H180" s="4">
        <v>8870</v>
      </c>
      <c r="I180" s="4">
        <v>781955.52</v>
      </c>
    </row>
    <row r="181" spans="2:9">
      <c r="B181" s="4">
        <v>74881.56</v>
      </c>
      <c r="C181" s="4">
        <v>898031.04</v>
      </c>
      <c r="H181" s="4">
        <v>9999</v>
      </c>
      <c r="I181" s="4">
        <v>898031.04</v>
      </c>
    </row>
    <row r="182" spans="2:9">
      <c r="B182" s="4">
        <v>68491.11</v>
      </c>
      <c r="C182" s="4">
        <v>855341.28</v>
      </c>
      <c r="H182" s="4">
        <v>11154</v>
      </c>
      <c r="I182" s="4">
        <v>855341.28</v>
      </c>
    </row>
    <row r="183" spans="2:9">
      <c r="B183" s="4">
        <v>45209.25</v>
      </c>
      <c r="C183" s="4">
        <v>751393.88</v>
      </c>
      <c r="H183" s="4">
        <v>9287</v>
      </c>
      <c r="I183" s="4">
        <v>751393.88</v>
      </c>
    </row>
    <row r="184" spans="2:9">
      <c r="B184" s="4">
        <v>63010.23</v>
      </c>
      <c r="C184" s="4">
        <v>761077.08</v>
      </c>
      <c r="H184" s="4">
        <v>9812</v>
      </c>
      <c r="I184" s="4">
        <v>761077.08</v>
      </c>
    </row>
    <row r="185" spans="2:9">
      <c r="B185" s="4">
        <v>57948.88</v>
      </c>
      <c r="C185" s="4">
        <v>819660.59</v>
      </c>
      <c r="H185" s="4">
        <v>10741</v>
      </c>
      <c r="I185" s="4">
        <v>819660.59</v>
      </c>
    </row>
    <row r="186" spans="2:9">
      <c r="B186" s="4">
        <v>71941.62</v>
      </c>
      <c r="C186" s="4">
        <v>681855.56</v>
      </c>
      <c r="H186" s="4">
        <v>6084</v>
      </c>
      <c r="I186" s="4">
        <v>681855.56</v>
      </c>
    </row>
    <row r="187" spans="2:9">
      <c r="B187" s="4">
        <v>57147.88</v>
      </c>
      <c r="C187" s="4">
        <v>678311.17</v>
      </c>
      <c r="H187" s="4">
        <v>5252</v>
      </c>
      <c r="I187" s="4">
        <v>678311.17</v>
      </c>
    </row>
    <row r="188" spans="2:9">
      <c r="B188" s="4">
        <v>48031.74</v>
      </c>
      <c r="C188" s="4">
        <v>765906.95</v>
      </c>
      <c r="H188" s="4">
        <v>6516</v>
      </c>
      <c r="I188" s="4">
        <v>765906.95</v>
      </c>
    </row>
    <row r="189" spans="2:9">
      <c r="B189" s="4">
        <v>72784.8</v>
      </c>
      <c r="C189" s="4">
        <v>712546.38</v>
      </c>
      <c r="H189" s="4">
        <v>7932</v>
      </c>
      <c r="I189" s="4">
        <v>712546.38</v>
      </c>
    </row>
    <row r="190" spans="2:9">
      <c r="B190" s="4">
        <v>71641.9</v>
      </c>
      <c r="C190" s="4">
        <v>625993.83</v>
      </c>
      <c r="H190" s="4">
        <v>3506</v>
      </c>
      <c r="I190" s="4">
        <v>625993.83</v>
      </c>
    </row>
    <row r="191" spans="2:9">
      <c r="B191" s="4">
        <v>55788.61</v>
      </c>
      <c r="C191" s="4">
        <v>550962.93</v>
      </c>
      <c r="H191" s="4">
        <v>2312</v>
      </c>
      <c r="I191" s="4">
        <v>550962.93</v>
      </c>
    </row>
    <row r="192" spans="2:9">
      <c r="B192" s="4">
        <v>37705.88</v>
      </c>
      <c r="C192" s="4">
        <v>443275.59</v>
      </c>
      <c r="H192" s="4">
        <v>1268</v>
      </c>
      <c r="I192" s="4">
        <v>443275.59</v>
      </c>
    </row>
    <row r="193" spans="2:9">
      <c r="B193" s="4">
        <v>54966.18</v>
      </c>
      <c r="C193" s="4">
        <v>554012.07</v>
      </c>
      <c r="H193" s="4">
        <v>4423</v>
      </c>
      <c r="I193" s="4">
        <v>554012.07</v>
      </c>
    </row>
    <row r="194" spans="2:9">
      <c r="B194" s="4">
        <v>81796.74</v>
      </c>
      <c r="C194" s="4">
        <v>643428.85</v>
      </c>
      <c r="H194" s="4">
        <v>6177</v>
      </c>
      <c r="I194" s="4">
        <v>643428.85</v>
      </c>
    </row>
    <row r="195" spans="2:9">
      <c r="B195" s="4">
        <v>51133.43</v>
      </c>
      <c r="C195" s="4">
        <v>611924.27</v>
      </c>
      <c r="H195" s="4">
        <v>5150</v>
      </c>
      <c r="I195" s="4">
        <v>611924.27</v>
      </c>
    </row>
    <row r="196" spans="2:9">
      <c r="B196" s="4">
        <v>40220.18</v>
      </c>
      <c r="C196" s="4">
        <v>559422.02</v>
      </c>
      <c r="H196" s="4">
        <v>3783</v>
      </c>
      <c r="I196" s="4">
        <v>559422.02</v>
      </c>
    </row>
    <row r="197" spans="2:9">
      <c r="B197" s="4">
        <v>41657.64</v>
      </c>
      <c r="C197" s="4">
        <v>449465.06</v>
      </c>
      <c r="H197" s="4">
        <v>3135</v>
      </c>
      <c r="I197" s="4">
        <v>449465.06</v>
      </c>
    </row>
    <row r="198" spans="2:9">
      <c r="B198" s="4">
        <v>71851.45</v>
      </c>
      <c r="C198" s="4">
        <v>691447.43</v>
      </c>
      <c r="H198" s="4">
        <v>4970</v>
      </c>
      <c r="I198" s="4">
        <v>691447.43</v>
      </c>
    </row>
    <row r="199" spans="2:9">
      <c r="B199" s="4">
        <v>54002.83</v>
      </c>
      <c r="C199" s="4">
        <v>574066.61</v>
      </c>
      <c r="H199" s="4">
        <v>4366</v>
      </c>
      <c r="I199" s="4">
        <v>574066.61</v>
      </c>
    </row>
    <row r="200" spans="2:9">
      <c r="B200" s="4">
        <v>54479.33</v>
      </c>
      <c r="C200" s="4">
        <v>578949.84</v>
      </c>
      <c r="H200" s="4">
        <v>5012</v>
      </c>
      <c r="I200" s="4">
        <v>578949.84</v>
      </c>
    </row>
    <row r="201" spans="2:9">
      <c r="B201" s="4">
        <v>61391.8</v>
      </c>
      <c r="C201" s="4">
        <v>735786.64</v>
      </c>
      <c r="H201" s="4">
        <v>5575</v>
      </c>
      <c r="I201" s="4">
        <v>735786.64</v>
      </c>
    </row>
    <row r="202" spans="2:9">
      <c r="B202" s="4">
        <v>22312.93</v>
      </c>
      <c r="C202" s="4">
        <v>598904.9</v>
      </c>
      <c r="H202" s="4">
        <v>5955</v>
      </c>
      <c r="I202" s="4">
        <v>598904.9</v>
      </c>
    </row>
    <row r="203" spans="2:9">
      <c r="B203" s="4">
        <v>78111.97</v>
      </c>
      <c r="C203" s="4">
        <v>787715.51</v>
      </c>
      <c r="H203" s="4">
        <v>6389</v>
      </c>
      <c r="I203" s="4">
        <v>787715.51</v>
      </c>
    </row>
    <row r="204" spans="2:9">
      <c r="B204" s="4">
        <v>35203.23</v>
      </c>
      <c r="C204" s="4">
        <v>607084.92</v>
      </c>
      <c r="H204" s="4">
        <v>6896</v>
      </c>
      <c r="I204" s="4">
        <v>607084.92</v>
      </c>
    </row>
    <row r="205" spans="2:9">
      <c r="B205" s="4">
        <v>64104.28</v>
      </c>
      <c r="C205" s="4">
        <v>650795.49</v>
      </c>
      <c r="H205" s="4">
        <v>6015</v>
      </c>
      <c r="I205" s="4">
        <v>650795.49</v>
      </c>
    </row>
    <row r="206" spans="2:9">
      <c r="B206" s="4">
        <v>92090.14</v>
      </c>
      <c r="C206" s="4">
        <v>825060.52</v>
      </c>
      <c r="H206" s="4">
        <v>9476</v>
      </c>
      <c r="I206" s="4">
        <v>825060.52</v>
      </c>
    </row>
    <row r="207" spans="2:9">
      <c r="B207" s="4">
        <v>54300.87</v>
      </c>
      <c r="C207" s="4">
        <v>795464.47</v>
      </c>
      <c r="H207" s="4">
        <v>7875</v>
      </c>
      <c r="I207" s="4">
        <v>795464.47</v>
      </c>
    </row>
    <row r="208" spans="2:9">
      <c r="B208" s="4">
        <v>37983.35</v>
      </c>
      <c r="C208" s="4">
        <v>671868.59</v>
      </c>
      <c r="H208" s="4">
        <v>9283</v>
      </c>
      <c r="I208" s="4">
        <v>671868.59</v>
      </c>
    </row>
    <row r="209" spans="2:9">
      <c r="B209" s="4">
        <v>56413.83</v>
      </c>
      <c r="C209" s="4">
        <v>675917.63</v>
      </c>
      <c r="H209" s="4">
        <v>8303</v>
      </c>
      <c r="I209" s="4">
        <v>675917.63</v>
      </c>
    </row>
    <row r="210" spans="2:9">
      <c r="B210" s="4">
        <v>63457.19</v>
      </c>
      <c r="C210" s="4">
        <v>810446.53</v>
      </c>
      <c r="H210" s="4">
        <v>10125</v>
      </c>
      <c r="I210" s="4">
        <v>810446.53</v>
      </c>
    </row>
    <row r="211" spans="2:9">
      <c r="B211" s="4">
        <v>62949.7</v>
      </c>
      <c r="C211" s="4">
        <v>691288.19</v>
      </c>
      <c r="H211" s="4">
        <v>9458</v>
      </c>
      <c r="I211" s="4">
        <v>691288.19</v>
      </c>
    </row>
    <row r="212" spans="2:9">
      <c r="B212" s="4">
        <v>107970.19</v>
      </c>
      <c r="C212" s="4">
        <v>946833.54</v>
      </c>
      <c r="H212" s="4">
        <v>12870</v>
      </c>
      <c r="I212" s="4">
        <v>946833.54</v>
      </c>
    </row>
    <row r="213" spans="2:9">
      <c r="B213" s="4">
        <v>49405.75</v>
      </c>
      <c r="C213" s="4">
        <v>761963.23</v>
      </c>
      <c r="H213" s="4">
        <v>9752</v>
      </c>
      <c r="I213" s="4">
        <v>761963.23</v>
      </c>
    </row>
    <row r="214" spans="2:9">
      <c r="B214" s="4">
        <v>50887.46</v>
      </c>
      <c r="C214" s="4">
        <v>812152.6</v>
      </c>
      <c r="H214" s="4">
        <v>9505</v>
      </c>
      <c r="I214" s="4">
        <v>812152.6</v>
      </c>
    </row>
    <row r="215" spans="2:9">
      <c r="B215" s="4">
        <v>41819.45</v>
      </c>
      <c r="C215" s="4">
        <v>804975.5</v>
      </c>
      <c r="H215" s="4">
        <v>9412</v>
      </c>
      <c r="I215" s="4">
        <v>804975.5</v>
      </c>
    </row>
    <row r="216" spans="2:9">
      <c r="B216" s="4">
        <v>35296.54</v>
      </c>
      <c r="C216" s="4">
        <v>752321.72</v>
      </c>
      <c r="H216" s="4">
        <v>9644</v>
      </c>
      <c r="I216" s="4">
        <v>752321.72</v>
      </c>
    </row>
    <row r="217" spans="2:9">
      <c r="B217" s="4">
        <v>47391.09</v>
      </c>
      <c r="C217" s="4">
        <v>836908.24</v>
      </c>
      <c r="H217" s="4">
        <v>11224</v>
      </c>
      <c r="I217" s="4">
        <v>836908.24</v>
      </c>
    </row>
    <row r="218" spans="2:9">
      <c r="B218" s="4">
        <v>69180.54</v>
      </c>
      <c r="C218" s="4">
        <v>674289.1</v>
      </c>
      <c r="H218" s="4">
        <v>5394</v>
      </c>
      <c r="I218" s="4">
        <v>674289.1</v>
      </c>
    </row>
    <row r="219" spans="2:9">
      <c r="B219" s="4">
        <v>33987.33</v>
      </c>
      <c r="C219" s="4">
        <v>622892.42</v>
      </c>
      <c r="H219" s="4">
        <v>5014</v>
      </c>
      <c r="I219" s="4">
        <v>622892.42</v>
      </c>
    </row>
    <row r="220" spans="2:9">
      <c r="B220" s="4">
        <v>58785.33</v>
      </c>
      <c r="C220" s="4">
        <v>673348.56</v>
      </c>
      <c r="H220" s="4">
        <v>4467</v>
      </c>
      <c r="I220" s="4">
        <v>673348.56</v>
      </c>
    </row>
    <row r="221" spans="2:9">
      <c r="B221" s="4">
        <v>16451.85</v>
      </c>
      <c r="C221" s="4">
        <v>606278.3</v>
      </c>
      <c r="H221" s="4">
        <v>4678</v>
      </c>
      <c r="I221" s="4">
        <v>606278.3</v>
      </c>
    </row>
    <row r="222" spans="2:9">
      <c r="B222" s="4">
        <v>53367.73</v>
      </c>
      <c r="C222" s="4">
        <v>712219.81</v>
      </c>
      <c r="H222" s="4">
        <v>7291</v>
      </c>
      <c r="I222" s="4">
        <v>712219.81</v>
      </c>
    </row>
    <row r="223" spans="2:9">
      <c r="B223" s="4">
        <v>27194.64</v>
      </c>
      <c r="C223" s="4">
        <v>672670.54</v>
      </c>
      <c r="H223" s="4">
        <v>7404</v>
      </c>
      <c r="I223" s="4">
        <v>672670.54</v>
      </c>
    </row>
    <row r="224" spans="2:9">
      <c r="B224" s="4">
        <v>66962.74</v>
      </c>
      <c r="C224" s="4">
        <v>732667.92</v>
      </c>
      <c r="H224" s="4">
        <v>7880</v>
      </c>
      <c r="I224" s="4">
        <v>732667.92</v>
      </c>
    </row>
    <row r="225" spans="2:9">
      <c r="B225" s="4">
        <v>73540.99</v>
      </c>
      <c r="C225" s="4">
        <v>723531.4</v>
      </c>
      <c r="H225" s="4">
        <v>8773</v>
      </c>
      <c r="I225" s="4">
        <v>723531.4</v>
      </c>
    </row>
    <row r="226" spans="2:9">
      <c r="B226" s="4">
        <v>68212.29</v>
      </c>
      <c r="C226" s="4">
        <v>641564.6</v>
      </c>
      <c r="H226" s="4">
        <v>4713</v>
      </c>
      <c r="I226" s="4">
        <v>641564.6</v>
      </c>
    </row>
    <row r="227" spans="2:9">
      <c r="B227" s="4">
        <v>57225.98</v>
      </c>
      <c r="C227" s="4">
        <v>536545.49</v>
      </c>
      <c r="H227" s="4">
        <v>2842</v>
      </c>
      <c r="I227" s="4">
        <v>536545.49</v>
      </c>
    </row>
    <row r="228" spans="2:9">
      <c r="B228" s="4">
        <v>42932.02</v>
      </c>
      <c r="C228" s="4">
        <v>527681.56</v>
      </c>
      <c r="H228" s="4">
        <v>3872</v>
      </c>
      <c r="I228" s="4">
        <v>527681.56</v>
      </c>
    </row>
    <row r="229" spans="2:9">
      <c r="B229" s="4">
        <v>39341.45</v>
      </c>
      <c r="C229" s="4">
        <v>529598.94</v>
      </c>
      <c r="H229" s="4">
        <v>1375</v>
      </c>
      <c r="I229" s="4">
        <v>529598.94</v>
      </c>
    </row>
    <row r="230" spans="2:9">
      <c r="B230" s="4">
        <v>37324.23</v>
      </c>
      <c r="C230" s="4">
        <v>570963.31</v>
      </c>
      <c r="H230" s="4">
        <v>5957</v>
      </c>
      <c r="I230" s="4">
        <v>570963.31</v>
      </c>
    </row>
    <row r="231" spans="2:9">
      <c r="B231" s="4">
        <v>113736</v>
      </c>
      <c r="C231" s="4">
        <v>870937.4</v>
      </c>
      <c r="H231" s="4">
        <v>8961</v>
      </c>
      <c r="I231" s="4">
        <v>870937.4</v>
      </c>
    </row>
    <row r="232" spans="2:9">
      <c r="B232" s="4">
        <v>33173.95</v>
      </c>
      <c r="C232" s="4">
        <v>596969.27</v>
      </c>
      <c r="H232" s="4">
        <v>6545</v>
      </c>
      <c r="I232" s="4">
        <v>596969.27</v>
      </c>
    </row>
    <row r="233" spans="2:9">
      <c r="B233" s="4">
        <v>25818.08</v>
      </c>
      <c r="C233" s="4">
        <v>647512.85</v>
      </c>
      <c r="H233" s="4">
        <v>5457</v>
      </c>
      <c r="I233" s="4">
        <v>647512.85</v>
      </c>
    </row>
    <row r="234" spans="2:9">
      <c r="B234" s="4">
        <v>47241.92</v>
      </c>
      <c r="C234" s="4">
        <v>658072.14</v>
      </c>
      <c r="H234" s="4">
        <v>4264</v>
      </c>
      <c r="I234" s="4">
        <v>658072.14</v>
      </c>
    </row>
    <row r="235" spans="2:9">
      <c r="B235" s="4">
        <v>61650.79</v>
      </c>
      <c r="C235" s="4">
        <v>723305.11</v>
      </c>
      <c r="H235" s="4">
        <v>5321</v>
      </c>
      <c r="I235" s="4">
        <v>723305.11</v>
      </c>
    </row>
    <row r="236" spans="2:9">
      <c r="B236" s="4">
        <v>62582.71</v>
      </c>
      <c r="C236" s="4">
        <v>640666.53</v>
      </c>
      <c r="H236" s="4">
        <v>5479</v>
      </c>
      <c r="I236" s="4">
        <v>640666.53</v>
      </c>
    </row>
    <row r="237" spans="2:9">
      <c r="B237" s="4">
        <v>47944.14</v>
      </c>
      <c r="C237" s="4">
        <v>670629.48</v>
      </c>
      <c r="H237" s="4">
        <v>6169</v>
      </c>
      <c r="I237" s="4">
        <v>670629.48</v>
      </c>
    </row>
    <row r="238" spans="2:9">
      <c r="B238" s="4">
        <v>46495.4</v>
      </c>
      <c r="C238" s="4">
        <v>721079.35</v>
      </c>
      <c r="H238" s="4">
        <v>9908</v>
      </c>
      <c r="I238" s="4">
        <v>721079.35</v>
      </c>
    </row>
    <row r="239" spans="2:9">
      <c r="B239" s="4">
        <v>72961.95</v>
      </c>
      <c r="C239" s="4">
        <v>810355.02</v>
      </c>
      <c r="H239" s="4">
        <v>9996</v>
      </c>
      <c r="I239" s="4">
        <v>810355.02</v>
      </c>
    </row>
    <row r="240" spans="2:9">
      <c r="B240" s="4">
        <v>59060.05</v>
      </c>
      <c r="C240" s="4">
        <v>761919.25</v>
      </c>
      <c r="H240" s="4">
        <v>9702</v>
      </c>
      <c r="I240" s="4">
        <v>761919.25</v>
      </c>
    </row>
    <row r="241" spans="2:9">
      <c r="B241" s="4">
        <v>26248.1</v>
      </c>
      <c r="C241" s="4">
        <v>737070.18</v>
      </c>
      <c r="H241" s="4">
        <v>9314</v>
      </c>
      <c r="I241" s="4">
        <v>737070.18</v>
      </c>
    </row>
    <row r="242" spans="2:9">
      <c r="B242" s="4">
        <v>69900.12</v>
      </c>
      <c r="C242" s="4">
        <v>776992.93</v>
      </c>
      <c r="H242" s="4">
        <v>8055</v>
      </c>
      <c r="I242" s="4">
        <v>776992.93</v>
      </c>
    </row>
    <row r="243" spans="2:9">
      <c r="B243" s="4">
        <v>51781.6</v>
      </c>
      <c r="C243" s="4">
        <v>676337.41</v>
      </c>
      <c r="H243" s="4">
        <v>5648</v>
      </c>
      <c r="I243" s="4">
        <v>676337.41</v>
      </c>
    </row>
    <row r="244" spans="2:9">
      <c r="B244" s="4">
        <v>70799.64</v>
      </c>
      <c r="C244" s="4">
        <v>828219.67</v>
      </c>
      <c r="H244" s="4">
        <v>10076</v>
      </c>
      <c r="I244" s="4">
        <v>828219.67</v>
      </c>
    </row>
    <row r="245" spans="2:9">
      <c r="B245" s="4">
        <v>53546.34</v>
      </c>
      <c r="C245" s="4">
        <v>763159.92</v>
      </c>
      <c r="H245" s="4">
        <v>8004</v>
      </c>
      <c r="I245" s="4">
        <v>763159.92</v>
      </c>
    </row>
    <row r="246" spans="2:9">
      <c r="B246" s="4">
        <v>76942.2</v>
      </c>
      <c r="C246" s="4">
        <v>802001.68</v>
      </c>
      <c r="H246" s="4">
        <v>8934</v>
      </c>
      <c r="I246" s="4">
        <v>802001.68</v>
      </c>
    </row>
    <row r="247" spans="2:9">
      <c r="B247" s="4">
        <v>48060.78</v>
      </c>
      <c r="C247" s="4">
        <v>750471.34</v>
      </c>
      <c r="H247" s="4">
        <v>8733</v>
      </c>
      <c r="I247" s="4">
        <v>750471.34</v>
      </c>
    </row>
    <row r="248" spans="2:9">
      <c r="B248" s="4">
        <v>57390.04</v>
      </c>
      <c r="C248" s="4">
        <v>679230.86</v>
      </c>
      <c r="H248" s="4">
        <v>7374</v>
      </c>
      <c r="I248" s="4">
        <v>679230.86</v>
      </c>
    </row>
    <row r="249" spans="2:9">
      <c r="B249" s="4">
        <v>21536.18</v>
      </c>
      <c r="C249" s="4">
        <v>679888.74</v>
      </c>
      <c r="H249" s="4">
        <v>8119</v>
      </c>
      <c r="I249" s="4">
        <v>679888.74</v>
      </c>
    </row>
    <row r="250" spans="2:9">
      <c r="B250" s="4">
        <v>40923.67</v>
      </c>
      <c r="C250" s="4">
        <v>606783.67</v>
      </c>
      <c r="H250" s="4">
        <v>3875</v>
      </c>
      <c r="I250" s="4">
        <v>606783.67</v>
      </c>
    </row>
    <row r="251" spans="2:9">
      <c r="B251" s="4">
        <v>72932.55</v>
      </c>
      <c r="C251" s="4">
        <v>642751.42</v>
      </c>
      <c r="H251" s="4">
        <v>5765</v>
      </c>
      <c r="I251" s="4">
        <v>642751.42</v>
      </c>
    </row>
    <row r="252" spans="2:9">
      <c r="B252" s="4">
        <v>38361.93</v>
      </c>
      <c r="C252" s="4">
        <v>647953.78</v>
      </c>
      <c r="H252" s="4">
        <v>6322</v>
      </c>
      <c r="I252" s="4">
        <v>647953.78</v>
      </c>
    </row>
    <row r="253" spans="2:9">
      <c r="B253" s="4">
        <v>97480.94</v>
      </c>
      <c r="C253" s="4">
        <v>729440.45</v>
      </c>
      <c r="H253" s="4">
        <v>6840</v>
      </c>
      <c r="I253" s="4">
        <v>729440.45</v>
      </c>
    </row>
    <row r="254" spans="2:9">
      <c r="B254" s="4">
        <v>81801.8</v>
      </c>
      <c r="C254" s="4">
        <v>764949</v>
      </c>
      <c r="H254" s="4">
        <v>6782</v>
      </c>
      <c r="I254" s="4">
        <v>764949</v>
      </c>
    </row>
    <row r="255" spans="2:9">
      <c r="B255" s="4">
        <v>63582.11</v>
      </c>
      <c r="C255" s="4">
        <v>799046.94</v>
      </c>
      <c r="H255" s="4">
        <v>6856</v>
      </c>
      <c r="I255" s="4">
        <v>799046.94</v>
      </c>
    </row>
    <row r="256" spans="2:9">
      <c r="B256" s="4">
        <v>75412.74</v>
      </c>
      <c r="C256" s="4">
        <v>720079.54</v>
      </c>
      <c r="H256" s="4">
        <v>5641</v>
      </c>
      <c r="I256" s="4">
        <v>720079.54</v>
      </c>
    </row>
    <row r="257" spans="2:9">
      <c r="B257" s="4">
        <v>36290.08</v>
      </c>
      <c r="C257" s="4">
        <v>612390.14</v>
      </c>
      <c r="H257" s="4">
        <v>5787</v>
      </c>
      <c r="I257" s="4">
        <v>612390.14</v>
      </c>
    </row>
    <row r="258" spans="2:9">
      <c r="B258" s="4">
        <v>65272.58</v>
      </c>
      <c r="C258" s="4">
        <v>840108.12</v>
      </c>
      <c r="H258" s="4">
        <v>8165</v>
      </c>
      <c r="I258" s="4">
        <v>840108.12</v>
      </c>
    </row>
    <row r="259" spans="2:9">
      <c r="B259" s="4">
        <v>28670.43</v>
      </c>
      <c r="C259" s="4">
        <v>697888.09</v>
      </c>
      <c r="H259" s="4">
        <v>7574</v>
      </c>
      <c r="I259" s="4">
        <v>697888.09</v>
      </c>
    </row>
    <row r="260" spans="2:9">
      <c r="B260" s="4">
        <v>44189.34</v>
      </c>
      <c r="C260" s="4">
        <v>746115.59</v>
      </c>
      <c r="H260" s="4">
        <v>8634</v>
      </c>
      <c r="I260" s="4">
        <v>746115.59</v>
      </c>
    </row>
    <row r="261" spans="2:9">
      <c r="B261" s="4">
        <v>38397.82</v>
      </c>
      <c r="C261" s="4">
        <v>776110.32</v>
      </c>
      <c r="H261" s="4">
        <v>7836</v>
      </c>
      <c r="I261" s="4">
        <v>776110.32</v>
      </c>
    </row>
    <row r="262" spans="2:9">
      <c r="B262" s="4">
        <v>14519.37</v>
      </c>
      <c r="C262" s="4">
        <v>528852.62</v>
      </c>
      <c r="H262" s="4">
        <v>3047</v>
      </c>
      <c r="I262" s="4">
        <v>528852.62</v>
      </c>
    </row>
    <row r="263" spans="2:9">
      <c r="B263" s="4">
        <v>43288.2</v>
      </c>
      <c r="C263" s="4">
        <v>605751.33</v>
      </c>
      <c r="H263" s="4">
        <v>4783</v>
      </c>
      <c r="I263" s="4">
        <v>605751.33</v>
      </c>
    </row>
    <row r="264" spans="2:9">
      <c r="B264" s="4">
        <v>51450.55</v>
      </c>
      <c r="C264" s="4">
        <v>677640.65</v>
      </c>
      <c r="H264" s="4">
        <v>4902</v>
      </c>
      <c r="I264" s="4">
        <v>677640.65</v>
      </c>
    </row>
    <row r="265" spans="2:9">
      <c r="B265" s="4">
        <v>58688.26</v>
      </c>
      <c r="C265" s="4">
        <v>636613.23</v>
      </c>
      <c r="H265" s="4">
        <v>4022</v>
      </c>
      <c r="I265" s="4">
        <v>636613.23</v>
      </c>
    </row>
    <row r="266" spans="2:9">
      <c r="B266" s="4">
        <v>58981.91</v>
      </c>
      <c r="C266" s="4">
        <v>708985.19</v>
      </c>
      <c r="H266" s="4">
        <v>7324</v>
      </c>
      <c r="I266" s="4">
        <v>708985.19</v>
      </c>
    </row>
    <row r="267" spans="2:9">
      <c r="B267" s="4">
        <v>73454.54</v>
      </c>
      <c r="C267" s="4">
        <v>767792.94</v>
      </c>
      <c r="H267" s="4">
        <v>8129</v>
      </c>
      <c r="I267" s="4">
        <v>767792.94</v>
      </c>
    </row>
    <row r="268" spans="2:9">
      <c r="B268" s="4">
        <v>56602.39</v>
      </c>
      <c r="C268" s="4">
        <v>745580.51</v>
      </c>
      <c r="H268" s="4">
        <v>7969</v>
      </c>
      <c r="I268" s="4">
        <v>745580.51</v>
      </c>
    </row>
    <row r="269" spans="2:9">
      <c r="B269" s="4">
        <v>67722.29</v>
      </c>
      <c r="C269" s="4">
        <v>762328.31</v>
      </c>
      <c r="H269" s="4">
        <v>7240</v>
      </c>
      <c r="I269" s="4">
        <v>762328.31</v>
      </c>
    </row>
    <row r="270" spans="2:9">
      <c r="B270" s="4">
        <v>48752.92</v>
      </c>
      <c r="C270" s="4">
        <v>660633.99</v>
      </c>
      <c r="H270" s="4">
        <v>8052</v>
      </c>
      <c r="I270" s="4">
        <v>660633.99</v>
      </c>
    </row>
    <row r="271" spans="2:9">
      <c r="B271" s="4">
        <v>23914.97</v>
      </c>
      <c r="C271" s="4">
        <v>739374.56</v>
      </c>
      <c r="H271" s="4">
        <v>8018</v>
      </c>
      <c r="I271" s="4">
        <v>739374.56</v>
      </c>
    </row>
    <row r="272" spans="2:9">
      <c r="B272" s="4">
        <v>61995.3</v>
      </c>
      <c r="C272" s="4">
        <v>799756.46</v>
      </c>
      <c r="H272" s="4">
        <v>10192</v>
      </c>
      <c r="I272" s="4">
        <v>799756.46</v>
      </c>
    </row>
    <row r="273" spans="2:9">
      <c r="B273" s="4">
        <v>29344.93</v>
      </c>
      <c r="C273" s="4">
        <v>593343</v>
      </c>
      <c r="H273" s="4">
        <v>7446</v>
      </c>
      <c r="I273" s="4">
        <v>593343</v>
      </c>
    </row>
    <row r="274" spans="2:9">
      <c r="B274" s="4">
        <v>50532.17</v>
      </c>
      <c r="C274" s="4">
        <v>645039.97</v>
      </c>
      <c r="H274" s="4">
        <v>5689</v>
      </c>
      <c r="I274" s="4">
        <v>645039.97</v>
      </c>
    </row>
    <row r="275" spans="2:9">
      <c r="B275" s="4">
        <v>17562.57</v>
      </c>
      <c r="C275" s="4">
        <v>561597.33</v>
      </c>
      <c r="H275" s="4">
        <v>3326</v>
      </c>
      <c r="I275" s="4">
        <v>561597.33</v>
      </c>
    </row>
    <row r="276" spans="2:9">
      <c r="B276" s="4">
        <v>47648.71</v>
      </c>
      <c r="C276" s="4">
        <v>635837.74</v>
      </c>
      <c r="H276" s="4">
        <v>5767</v>
      </c>
      <c r="I276" s="4">
        <v>635837.74</v>
      </c>
    </row>
    <row r="277" spans="2:9">
      <c r="B277" s="4">
        <v>38297.58</v>
      </c>
      <c r="C277" s="4">
        <v>686737.87</v>
      </c>
      <c r="H277" s="4">
        <v>5893</v>
      </c>
      <c r="I277" s="4">
        <v>686737.87</v>
      </c>
    </row>
    <row r="278" spans="2:9">
      <c r="B278" s="4">
        <v>61784.11</v>
      </c>
      <c r="C278" s="4">
        <v>673076.34</v>
      </c>
      <c r="H278" s="4">
        <v>8564</v>
      </c>
      <c r="I278" s="4">
        <v>673076.34</v>
      </c>
    </row>
    <row r="279" spans="2:9">
      <c r="B279" s="4">
        <v>36832.33</v>
      </c>
      <c r="C279" s="4">
        <v>738548.42</v>
      </c>
      <c r="H279" s="4">
        <v>8001</v>
      </c>
      <c r="I279" s="4">
        <v>738548.42</v>
      </c>
    </row>
    <row r="280" spans="2:9">
      <c r="B280" s="4">
        <v>48609.41</v>
      </c>
      <c r="C280" s="4">
        <v>756619.77</v>
      </c>
      <c r="H280" s="4">
        <v>9324</v>
      </c>
      <c r="I280" s="4">
        <v>756619.77</v>
      </c>
    </row>
    <row r="281" spans="2:9">
      <c r="B281" s="4">
        <v>70284.06</v>
      </c>
      <c r="C281" s="4">
        <v>761122.42</v>
      </c>
      <c r="H281" s="4">
        <v>9109</v>
      </c>
      <c r="I281" s="4">
        <v>761122.42</v>
      </c>
    </row>
    <row r="282" spans="2:9">
      <c r="B282" s="4">
        <v>45940.39</v>
      </c>
      <c r="C282" s="4">
        <v>524899.57</v>
      </c>
      <c r="H282" s="4">
        <v>4022</v>
      </c>
      <c r="I282" s="4">
        <v>524899.57</v>
      </c>
    </row>
    <row r="283" spans="2:9">
      <c r="B283" s="4">
        <v>34771.26</v>
      </c>
      <c r="C283" s="4">
        <v>555557.77</v>
      </c>
      <c r="H283" s="4">
        <v>4355</v>
      </c>
      <c r="I283" s="4">
        <v>555557.77</v>
      </c>
    </row>
    <row r="284" spans="2:9">
      <c r="B284" s="4">
        <v>66104.19</v>
      </c>
      <c r="C284" s="4">
        <v>714083.68</v>
      </c>
      <c r="H284" s="4">
        <v>5745</v>
      </c>
      <c r="I284" s="4">
        <v>714083.68</v>
      </c>
    </row>
    <row r="285" spans="2:9">
      <c r="B285" s="4">
        <v>18599.21</v>
      </c>
      <c r="C285" s="4">
        <v>497439.82</v>
      </c>
      <c r="H285" s="4">
        <v>3027</v>
      </c>
      <c r="I285" s="4">
        <v>497439.82</v>
      </c>
    </row>
    <row r="286" spans="2:9">
      <c r="B286" s="4">
        <v>60183.06</v>
      </c>
      <c r="C286" s="4">
        <v>636775.66</v>
      </c>
      <c r="H286" s="4">
        <v>5562</v>
      </c>
      <c r="I286" s="4">
        <v>636775.66</v>
      </c>
    </row>
    <row r="287" spans="2:9">
      <c r="B287" s="4">
        <v>74539.14</v>
      </c>
      <c r="C287" s="4">
        <v>633009.53</v>
      </c>
      <c r="H287" s="4">
        <v>4487</v>
      </c>
      <c r="I287" s="4">
        <v>633009.53</v>
      </c>
    </row>
    <row r="288" spans="2:9">
      <c r="B288" s="4">
        <v>55371.97</v>
      </c>
      <c r="C288" s="4">
        <v>609949</v>
      </c>
      <c r="H288" s="4">
        <v>4162</v>
      </c>
      <c r="I288" s="4">
        <v>609949</v>
      </c>
    </row>
    <row r="289" spans="2:9">
      <c r="B289" s="4">
        <v>40928.69</v>
      </c>
      <c r="C289" s="4">
        <v>548103.7</v>
      </c>
      <c r="H289" s="4">
        <v>4094</v>
      </c>
      <c r="I289" s="4">
        <v>548103.7</v>
      </c>
    </row>
    <row r="290" spans="2:9">
      <c r="B290" s="4">
        <v>70012.41</v>
      </c>
      <c r="C290" s="4">
        <v>729424.42</v>
      </c>
      <c r="H290" s="4">
        <v>8484</v>
      </c>
      <c r="I290" s="4">
        <v>729424.42</v>
      </c>
    </row>
    <row r="291" spans="2:9">
      <c r="B291" s="4">
        <v>68909.26</v>
      </c>
      <c r="C291" s="4">
        <v>696261.49</v>
      </c>
      <c r="H291" s="4">
        <v>7794</v>
      </c>
      <c r="I291" s="4">
        <v>696261.49</v>
      </c>
    </row>
    <row r="292" spans="2:9">
      <c r="B292" s="4">
        <v>56737.3</v>
      </c>
      <c r="C292" s="4">
        <v>813316.71</v>
      </c>
      <c r="H292" s="4">
        <v>8300</v>
      </c>
      <c r="I292" s="4">
        <v>813316.71</v>
      </c>
    </row>
    <row r="293" spans="2:9">
      <c r="B293" s="4">
        <v>54080.91</v>
      </c>
      <c r="C293" s="4">
        <v>702068.92</v>
      </c>
      <c r="H293" s="4">
        <v>7083</v>
      </c>
      <c r="I293" s="4">
        <v>702068.92</v>
      </c>
    </row>
    <row r="294" spans="2:9">
      <c r="B294" s="4">
        <v>51996.32</v>
      </c>
      <c r="C294" s="4">
        <v>546223.7</v>
      </c>
      <c r="H294" s="4">
        <v>3834</v>
      </c>
      <c r="I294" s="4">
        <v>546223.7</v>
      </c>
    </row>
    <row r="295" spans="2:9">
      <c r="B295" s="4">
        <v>40102.88</v>
      </c>
      <c r="C295" s="4">
        <v>533121.26</v>
      </c>
      <c r="H295" s="4">
        <v>2358</v>
      </c>
      <c r="I295" s="4">
        <v>533121.26</v>
      </c>
    </row>
    <row r="296" spans="2:9">
      <c r="B296" s="4">
        <v>59825.51</v>
      </c>
      <c r="C296" s="4">
        <v>498970.32</v>
      </c>
      <c r="H296" s="4">
        <v>1231</v>
      </c>
      <c r="I296" s="4">
        <v>498970.32</v>
      </c>
    </row>
    <row r="297" spans="2:9">
      <c r="B297" s="4">
        <v>27398.28</v>
      </c>
      <c r="C297" s="4">
        <v>487738.26</v>
      </c>
      <c r="H297" s="4">
        <v>1723</v>
      </c>
      <c r="I297" s="4">
        <v>487738.26</v>
      </c>
    </row>
    <row r="298" spans="2:9">
      <c r="B298" s="4">
        <v>55599.56</v>
      </c>
      <c r="C298" s="4">
        <v>668459.37</v>
      </c>
      <c r="H298" s="4">
        <v>5896</v>
      </c>
      <c r="I298" s="4">
        <v>668459.37</v>
      </c>
    </row>
    <row r="299" spans="2:9">
      <c r="B299" s="4">
        <v>55477.61</v>
      </c>
      <c r="C299" s="4">
        <v>763162.45</v>
      </c>
      <c r="H299" s="4">
        <v>5903</v>
      </c>
      <c r="I299" s="4">
        <v>763162.45</v>
      </c>
    </row>
    <row r="300" spans="2:9">
      <c r="B300" s="4">
        <v>46174.7</v>
      </c>
      <c r="C300" s="4">
        <v>599017.33</v>
      </c>
      <c r="H300" s="4">
        <v>4898</v>
      </c>
      <c r="I300" s="4">
        <v>599017.33</v>
      </c>
    </row>
    <row r="301" spans="2:9">
      <c r="B301" s="4">
        <v>24362.98</v>
      </c>
      <c r="C301" s="4">
        <v>401582.58</v>
      </c>
      <c r="H301" s="4">
        <v>1462</v>
      </c>
      <c r="I301" s="4">
        <v>401582.58</v>
      </c>
    </row>
    <row r="302" spans="2:9">
      <c r="B302" s="4">
        <v>40647.67</v>
      </c>
      <c r="C302" s="4">
        <v>703812.99</v>
      </c>
      <c r="H302" s="4">
        <v>8252</v>
      </c>
      <c r="I302" s="4">
        <v>703812.99</v>
      </c>
    </row>
    <row r="303" spans="2:9">
      <c r="B303" s="4">
        <v>63986.98</v>
      </c>
      <c r="C303" s="4">
        <v>724346.73</v>
      </c>
      <c r="H303" s="4">
        <v>7989</v>
      </c>
      <c r="I303" s="4">
        <v>724346.73</v>
      </c>
    </row>
    <row r="304" spans="2:9">
      <c r="B304" s="4">
        <v>52843.75</v>
      </c>
      <c r="C304" s="4">
        <v>730890.01</v>
      </c>
      <c r="H304" s="4">
        <v>8268</v>
      </c>
      <c r="I304" s="4">
        <v>730890.01</v>
      </c>
    </row>
    <row r="305" spans="2:9">
      <c r="B305" s="4">
        <v>31997.25</v>
      </c>
      <c r="C305" s="4">
        <v>780580.95</v>
      </c>
      <c r="H305" s="4">
        <v>8183</v>
      </c>
      <c r="I305" s="4">
        <v>780580.95</v>
      </c>
    </row>
    <row r="306" spans="2:9">
      <c r="B306" s="4">
        <v>54948.02</v>
      </c>
      <c r="C306" s="4">
        <v>727957.48</v>
      </c>
      <c r="H306" s="4">
        <v>6534</v>
      </c>
      <c r="I306" s="4">
        <v>727957.48</v>
      </c>
    </row>
    <row r="307" spans="2:9">
      <c r="B307" s="4">
        <v>46146.24</v>
      </c>
      <c r="C307" s="4">
        <v>538376</v>
      </c>
      <c r="H307" s="4">
        <v>5804</v>
      </c>
      <c r="I307" s="4">
        <v>538376</v>
      </c>
    </row>
    <row r="308" spans="2:9">
      <c r="B308" s="4">
        <v>22387.26</v>
      </c>
      <c r="C308" s="4">
        <v>665342.49</v>
      </c>
      <c r="H308" s="4">
        <v>6301</v>
      </c>
      <c r="I308" s="4">
        <v>665342.49</v>
      </c>
    </row>
    <row r="309" spans="2:9">
      <c r="B309" s="4">
        <v>60684.05</v>
      </c>
      <c r="C309" s="4">
        <v>651164.18</v>
      </c>
      <c r="H309" s="4">
        <v>6399</v>
      </c>
      <c r="I309" s="4">
        <v>651164.18</v>
      </c>
    </row>
    <row r="310" spans="2:9">
      <c r="B310" s="4">
        <v>48465.6</v>
      </c>
      <c r="C310" s="4">
        <v>628538.3</v>
      </c>
      <c r="H310" s="4">
        <v>5759</v>
      </c>
      <c r="I310" s="4">
        <v>628538.3</v>
      </c>
    </row>
    <row r="311" spans="2:9">
      <c r="B311" s="4">
        <v>23702.38</v>
      </c>
      <c r="C311" s="4">
        <v>536524.84</v>
      </c>
      <c r="H311" s="4">
        <v>5285</v>
      </c>
      <c r="I311" s="4">
        <v>536524.84</v>
      </c>
    </row>
    <row r="312" spans="2:9">
      <c r="B312" s="4">
        <v>54322.94</v>
      </c>
      <c r="C312" s="4">
        <v>621677.3</v>
      </c>
      <c r="H312" s="4">
        <v>5434</v>
      </c>
      <c r="I312" s="4">
        <v>621677.3</v>
      </c>
    </row>
    <row r="313" spans="2:9">
      <c r="B313" s="4">
        <v>86026.58</v>
      </c>
      <c r="C313" s="4">
        <v>771129.07</v>
      </c>
      <c r="H313" s="4">
        <v>7479</v>
      </c>
      <c r="I313" s="4">
        <v>771129.07</v>
      </c>
    </row>
    <row r="314" spans="2:9">
      <c r="B314" s="4">
        <v>78967.52</v>
      </c>
      <c r="C314" s="4">
        <v>702052.47</v>
      </c>
      <c r="H314" s="4">
        <v>6164</v>
      </c>
      <c r="I314" s="4">
        <v>702052.47</v>
      </c>
    </row>
    <row r="315" spans="2:9">
      <c r="B315" s="4">
        <v>46767.99</v>
      </c>
      <c r="C315" s="4">
        <v>688368.46</v>
      </c>
      <c r="H315" s="4">
        <v>7973</v>
      </c>
      <c r="I315" s="4">
        <v>688368.46</v>
      </c>
    </row>
    <row r="316" spans="2:9">
      <c r="B316" s="4">
        <v>62507.16</v>
      </c>
      <c r="C316" s="4">
        <v>712375.77</v>
      </c>
      <c r="H316" s="4">
        <v>6000</v>
      </c>
      <c r="I316" s="4">
        <v>712375.77</v>
      </c>
    </row>
    <row r="317" spans="2:9">
      <c r="B317" s="4">
        <v>66456.28</v>
      </c>
      <c r="C317" s="4">
        <v>844710.67</v>
      </c>
      <c r="H317" s="4">
        <v>9967</v>
      </c>
      <c r="I317" s="4">
        <v>844710.67</v>
      </c>
    </row>
    <row r="318" spans="2:9">
      <c r="B318" s="4">
        <v>76614.32</v>
      </c>
      <c r="C318" s="4">
        <v>620264.2</v>
      </c>
      <c r="H318" s="4">
        <v>5639</v>
      </c>
      <c r="I318" s="4">
        <v>620264.2</v>
      </c>
    </row>
    <row r="319" spans="2:9">
      <c r="B319" s="4">
        <v>24088.06</v>
      </c>
      <c r="C319" s="4">
        <v>536845.42</v>
      </c>
      <c r="H319" s="4">
        <v>3466</v>
      </c>
      <c r="I319" s="4">
        <v>536845.42</v>
      </c>
    </row>
    <row r="320" spans="2:9">
      <c r="B320" s="4">
        <v>81902.58</v>
      </c>
      <c r="C320" s="4">
        <v>726776.22</v>
      </c>
      <c r="H320" s="4">
        <v>7775</v>
      </c>
      <c r="I320" s="4">
        <v>726776.22</v>
      </c>
    </row>
    <row r="321" spans="2:9">
      <c r="B321" s="4">
        <v>40553.11</v>
      </c>
      <c r="C321" s="4">
        <v>559660.84</v>
      </c>
      <c r="H321" s="4">
        <v>5317</v>
      </c>
      <c r="I321" s="4">
        <v>559660.84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t="s">
        <v>116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t="s">
        <v>117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t="s">
        <v>118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A1" sqref="A1"/>
    </sheetView>
  </sheetViews>
  <sheetFormatPr defaultColWidth="9" defaultRowHeight="14.25" outlineLevelCol="1"/>
  <cols>
    <col min="1" max="2" width="28" customWidth="1"/>
  </cols>
  <sheetData>
    <row r="1" ht="28" customHeight="1" spans="1:2">
      <c r="A1" s="1" t="s">
        <v>119</v>
      </c>
      <c r="B1" s="1" t="s">
        <v>120</v>
      </c>
    </row>
    <row r="2" spans="1:2">
      <c r="A2" s="2" t="s">
        <v>0</v>
      </c>
      <c r="B2" s="2" t="s">
        <v>121</v>
      </c>
    </row>
    <row r="3" spans="1:2">
      <c r="A3" s="2" t="s">
        <v>1</v>
      </c>
      <c r="B3" s="2" t="s">
        <v>122</v>
      </c>
    </row>
    <row r="4" spans="1:2">
      <c r="A4" s="2" t="s">
        <v>2</v>
      </c>
      <c r="B4" s="2" t="s">
        <v>123</v>
      </c>
    </row>
    <row r="5" ht="28.5" spans="1:2">
      <c r="A5" s="2" t="s">
        <v>3</v>
      </c>
      <c r="B5" s="2" t="s">
        <v>124</v>
      </c>
    </row>
    <row r="6" ht="28.5" spans="1:2">
      <c r="A6" s="2" t="s">
        <v>4</v>
      </c>
      <c r="B6" s="2" t="s">
        <v>125</v>
      </c>
    </row>
    <row r="7" spans="1:2">
      <c r="A7" s="2" t="s">
        <v>5</v>
      </c>
      <c r="B7" s="2" t="s">
        <v>126</v>
      </c>
    </row>
    <row r="8" ht="28.5" spans="1:2">
      <c r="A8" s="2" t="s">
        <v>6</v>
      </c>
      <c r="B8" s="2" t="s">
        <v>127</v>
      </c>
    </row>
    <row r="9" spans="1:2">
      <c r="A9" s="2" t="s">
        <v>7</v>
      </c>
      <c r="B9" s="2" t="s">
        <v>128</v>
      </c>
    </row>
    <row r="10" ht="28.5" spans="1:2">
      <c r="A10" s="2" t="s">
        <v>8</v>
      </c>
      <c r="B10" s="2" t="s">
        <v>129</v>
      </c>
    </row>
    <row r="11" spans="1:2">
      <c r="A11" s="2" t="s">
        <v>9</v>
      </c>
      <c r="B11" s="2" t="s">
        <v>130</v>
      </c>
    </row>
    <row r="12" ht="42.75" spans="1:2">
      <c r="A12" s="2" t="s">
        <v>10</v>
      </c>
      <c r="B12" s="2" t="s">
        <v>131</v>
      </c>
    </row>
    <row r="13" spans="1:2">
      <c r="A13" s="2" t="s">
        <v>11</v>
      </c>
      <c r="B13" s="2" t="s">
        <v>132</v>
      </c>
    </row>
    <row r="14" ht="28.5" spans="1:2">
      <c r="A14" s="2" t="s">
        <v>12</v>
      </c>
      <c r="B14" s="2" t="s">
        <v>133</v>
      </c>
    </row>
    <row r="15" ht="28.5" spans="1:2">
      <c r="A15" s="2" t="s">
        <v>13</v>
      </c>
      <c r="B15" s="2" t="s">
        <v>134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store_performance</vt:lpstr>
      <vt:lpstr>Cleaned Data</vt:lpstr>
      <vt:lpstr>Dummy Variables</vt:lpstr>
      <vt:lpstr>Simple Regression</vt:lpstr>
      <vt:lpstr>Multiple Regression</vt:lpstr>
      <vt:lpstr>Prediction &amp; Residuals</vt:lpstr>
      <vt:lpstr>Model Comparison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arshi</cp:lastModifiedBy>
  <dcterms:created xsi:type="dcterms:W3CDTF">2026-06-28T10:27:00Z</dcterms:created>
  <dcterms:modified xsi:type="dcterms:W3CDTF">2026-06-28T11:15:44Z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D8E093F62327472193DCE03CF4CE5CA9_13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